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arun\Excel_Project\Excel Healthcare Project\"/>
    </mc:Choice>
  </mc:AlternateContent>
  <xr:revisionPtr revIDLastSave="0" documentId="13_ncr:1_{8355E81C-BCBC-4F16-B93E-C16A88D160D9}" xr6:coauthVersionLast="47" xr6:coauthVersionMax="47" xr10:uidLastSave="{00000000-0000-0000-0000-000000000000}"/>
  <bookViews>
    <workbookView xWindow="-110" yWindow="-110" windowWidth="19420" windowHeight="10300" tabRatio="695" firstSheet="1" activeTab="2" xr2:uid="{4D525DB0-8C7C-4F33-AA4A-94B0703BC7EA}"/>
  </bookViews>
  <sheets>
    <sheet name="Sheet4" sheetId="6" r:id="rId1"/>
    <sheet name="Calender Table" sheetId="3" r:id="rId2"/>
    <sheet name="Dashboard" sheetId="5" r:id="rId3"/>
    <sheet name="Hospital Emergency Room Data" sheetId="2" r:id="rId4"/>
  </sheets>
  <definedNames>
    <definedName name="ExternalData_1" localSheetId="0" hidden="1">Sheet4!$A$3:$M$227</definedName>
    <definedName name="Slicer_Date__Month">#N/A</definedName>
    <definedName name="Slicer_Date__Year">#N/A</definedName>
  </definedNames>
  <calcPr calcId="191029"/>
  <pivotCaches>
    <pivotCache cacheId="14" r:id="rId5"/>
    <pivotCache cacheId="17" r:id="rId6"/>
    <pivotCache cacheId="20" r:id="rId7"/>
    <pivotCache cacheId="23" r:id="rId8"/>
    <pivotCache cacheId="26" r:id="rId9"/>
    <pivotCache cacheId="29" r:id="rId10"/>
    <pivotCache cacheId="32" r:id="rId11"/>
    <pivotCache cacheId="35" r:id="rId12"/>
    <pivotCache cacheId="38" r:id="rId13"/>
    <pivotCache cacheId="41"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6dd8b8-6d1f-49ca-9d98-228e508861d0" name="Hospital Emergency Room Data" connection="Query - Hospital Emergency Room Data"/>
          <x15:modelTable id="Calender Table_0dee8b42-b6b4-44c8-a2fd-ef3136c1c9aa"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A47" i="3" l="1"/>
  <c r="B47" i="3"/>
  <c r="C47" i="3"/>
  <c r="A48" i="3"/>
  <c r="B48" i="3"/>
  <c r="C4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81B2AB-4C9B-4B88-B125-382EF8344C07}" keepAlive="1" name="ModelConnection_ExternalData_1" description="Data Model" type="5" refreshedVersion="8" minRefreshableVersion="5" saveData="1">
    <dbPr connection="Data Model Connection" command="DRILLTHROUGH MAXROWS 1000 SELECT FROM [Model] WHERE (([Calender Table].[Date (Month)].&amp;[Feb],[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Attend Status]" commandType="4"/>
    <extLst>
      <ext xmlns:x15="http://schemas.microsoft.com/office/spreadsheetml/2010/11/main" uri="{DE250136-89BD-433C-8126-D09CA5730AF9}">
        <x15:connection id="" model="1"/>
      </ext>
    </extLst>
  </connection>
  <connection id="2" xr16:uid="{9AA549E0-3F24-48F8-8917-133F3345B686}" name="Query - Calender Table" description="Connection to the 'Calender Table' query in the workbook." type="100" refreshedVersion="8" minRefreshableVersion="5">
    <extLst>
      <ext xmlns:x15="http://schemas.microsoft.com/office/spreadsheetml/2010/11/main" uri="{DE250136-89BD-433C-8126-D09CA5730AF9}">
        <x15:connection id="c2680fd2-d60a-409e-b2e1-21e522650bf8"/>
      </ext>
    </extLst>
  </connection>
  <connection id="3" xr16:uid="{C0BDAA38-F4B9-425C-9D04-55BAF282E79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d4e0516-e829-4f4e-ac2e-95954dad14ed"/>
      </ext>
    </extLst>
  </connection>
  <connection id="4" xr16:uid="{4A429882-CF50-468F-9C3E-2C14065D66A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<sst xmlns="http://schemas.openxmlformats.org/spreadsheetml/2006/main" count="1888" uniqueCount="538">
  <si>
    <t>Male</t>
  </si>
  <si>
    <t>White</t>
  </si>
  <si>
    <t>None</t>
  </si>
  <si>
    <t>Not Admitted</t>
  </si>
  <si>
    <t>Native American/Alaska Native</t>
  </si>
  <si>
    <t>Admitted</t>
  </si>
  <si>
    <t>Female</t>
  </si>
  <si>
    <t>African American</t>
  </si>
  <si>
    <t>General Practice</t>
  </si>
  <si>
    <t>358-31-9711</t>
  </si>
  <si>
    <t>U. Titcombe</t>
  </si>
  <si>
    <t>Orthopedics</t>
  </si>
  <si>
    <t>Asian</t>
  </si>
  <si>
    <t>Two or More Races</t>
  </si>
  <si>
    <t>Gastroenterology</t>
  </si>
  <si>
    <t>Pacific Islander</t>
  </si>
  <si>
    <t>Declined to Identify</t>
  </si>
  <si>
    <t>Physiotherapy</t>
  </si>
  <si>
    <t>Neurology</t>
  </si>
  <si>
    <t>Cardiology</t>
  </si>
  <si>
    <t>Renal</t>
  </si>
  <si>
    <t>710-50-4562</t>
  </si>
  <si>
    <t>P. Benedite</t>
  </si>
  <si>
    <t>373-70-7925</t>
  </si>
  <si>
    <t>W. Dives</t>
  </si>
  <si>
    <t>320-85-0898</t>
  </si>
  <si>
    <t>G. Paull</t>
  </si>
  <si>
    <t>388-34-2380</t>
  </si>
  <si>
    <t>E. Normanton</t>
  </si>
  <si>
    <t>618-67-3994</t>
  </si>
  <si>
    <t>O. Stummeyer</t>
  </si>
  <si>
    <t>827-97-4092</t>
  </si>
  <si>
    <t>O. Sibbering</t>
  </si>
  <si>
    <t>242-26-0614</t>
  </si>
  <si>
    <t>U. Terram</t>
  </si>
  <si>
    <t>344-60-3150</t>
  </si>
  <si>
    <t>F. Butts</t>
  </si>
  <si>
    <t>632-44-8851</t>
  </si>
  <si>
    <t>Q. Aicken</t>
  </si>
  <si>
    <t>881-97-4043</t>
  </si>
  <si>
    <t>R. McFadin</t>
  </si>
  <si>
    <t>114-36-5111</t>
  </si>
  <si>
    <t>R. Tilburn</t>
  </si>
  <si>
    <t>186-82-0440</t>
  </si>
  <si>
    <t>T. Rought</t>
  </si>
  <si>
    <t>786-39-5598</t>
  </si>
  <si>
    <t>M. Thurner</t>
  </si>
  <si>
    <t>423-95-8777</t>
  </si>
  <si>
    <t>X. Doogan</t>
  </si>
  <si>
    <t>613-37-8053</t>
  </si>
  <si>
    <t>W. Hale</t>
  </si>
  <si>
    <t>734-15-2159</t>
  </si>
  <si>
    <t>K. Cockroft</t>
  </si>
  <si>
    <t>499-70-1959</t>
  </si>
  <si>
    <t>X. Gartshore</t>
  </si>
  <si>
    <t>454-82-8237</t>
  </si>
  <si>
    <t>J. Votier</t>
  </si>
  <si>
    <t>315-47-9666</t>
  </si>
  <si>
    <t>A. Gransden</t>
  </si>
  <si>
    <t>684-47-0953</t>
  </si>
  <si>
    <t>D. Growcock</t>
  </si>
  <si>
    <t>256-81-6386</t>
  </si>
  <si>
    <t>R. Treslove</t>
  </si>
  <si>
    <t>250-66-4495</t>
  </si>
  <si>
    <t>V. Nabbs</t>
  </si>
  <si>
    <t>808-83-6561</t>
  </si>
  <si>
    <t>B. Lindback</t>
  </si>
  <si>
    <t>890-09-5805</t>
  </si>
  <si>
    <t>D. Linkie</t>
  </si>
  <si>
    <t>149-73-5025</t>
  </si>
  <si>
    <t>D. Danet</t>
  </si>
  <si>
    <t>399-94-6873</t>
  </si>
  <si>
    <t>I. Soldi</t>
  </si>
  <si>
    <t>680-94-3403</t>
  </si>
  <si>
    <t>K. Peirce</t>
  </si>
  <si>
    <t>879-29-8821</t>
  </si>
  <si>
    <t>P. Pentecost</t>
  </si>
  <si>
    <t>219-44-4242</t>
  </si>
  <si>
    <t>Q. Lebarree</t>
  </si>
  <si>
    <t>344-79-1146</t>
  </si>
  <si>
    <t>T. Jeffcoate</t>
  </si>
  <si>
    <t>678-92-5624</t>
  </si>
  <si>
    <t>X. Fermoy</t>
  </si>
  <si>
    <t>239-13-8585</t>
  </si>
  <si>
    <t>Y. Kielt</t>
  </si>
  <si>
    <t>731-16-0726</t>
  </si>
  <si>
    <t>N. Le Fevre</t>
  </si>
  <si>
    <t>727-44-0682</t>
  </si>
  <si>
    <t>B. Gealy</t>
  </si>
  <si>
    <t>790-47-5011</t>
  </si>
  <si>
    <t>R. Cockle</t>
  </si>
  <si>
    <t>519-85-8257</t>
  </si>
  <si>
    <t>Q. Asif</t>
  </si>
  <si>
    <t>312-08-6219</t>
  </si>
  <si>
    <t>I. Kaaskooper</t>
  </si>
  <si>
    <t>144-23-9650</t>
  </si>
  <si>
    <t>K. Mullany</t>
  </si>
  <si>
    <t>489-02-8826</t>
  </si>
  <si>
    <t>L. Swede</t>
  </si>
  <si>
    <t>435-90-3773</t>
  </si>
  <si>
    <t>L. Fells</t>
  </si>
  <si>
    <t>299-88-9041</t>
  </si>
  <si>
    <t>M. Franzel</t>
  </si>
  <si>
    <t>222-04-8858</t>
  </si>
  <si>
    <t>U. Geram</t>
  </si>
  <si>
    <t>621-66-7813</t>
  </si>
  <si>
    <t>V. Hawick</t>
  </si>
  <si>
    <t>208-42-8204</t>
  </si>
  <si>
    <t>E. Andrichuk</t>
  </si>
  <si>
    <t>455-54-8491</t>
  </si>
  <si>
    <t>K. Yeskin</t>
  </si>
  <si>
    <t>529-80-3128</t>
  </si>
  <si>
    <t>J. Meaking</t>
  </si>
  <si>
    <t>753-03-6126</t>
  </si>
  <si>
    <t>X. Gibke</t>
  </si>
  <si>
    <t>203-07-9453</t>
  </si>
  <si>
    <t>X. Ghiriardelli</t>
  </si>
  <si>
    <t>717-55-4547</t>
  </si>
  <si>
    <t>H. Abelwhite</t>
  </si>
  <si>
    <t>791-23-7644</t>
  </si>
  <si>
    <t>A. Montford</t>
  </si>
  <si>
    <t>645-79-2722</t>
  </si>
  <si>
    <t>I. McClounan</t>
  </si>
  <si>
    <t>474-66-5740</t>
  </si>
  <si>
    <t>Y. Unthank</t>
  </si>
  <si>
    <t>885-91-3054</t>
  </si>
  <si>
    <t>C. Bernhard</t>
  </si>
  <si>
    <t>789-98-0501</t>
  </si>
  <si>
    <t>F. Dring</t>
  </si>
  <si>
    <t>355-62-4781</t>
  </si>
  <si>
    <t>R. Bwy</t>
  </si>
  <si>
    <t>412-07-8001</t>
  </si>
  <si>
    <t>S. Sivewright</t>
  </si>
  <si>
    <t>234-89-6647</t>
  </si>
  <si>
    <t>P. Sapey</t>
  </si>
  <si>
    <t>718-51-6818</t>
  </si>
  <si>
    <t>R. Cadalleder</t>
  </si>
  <si>
    <t>475-84-2128</t>
  </si>
  <si>
    <t>E. Ivatts</t>
  </si>
  <si>
    <t>100-79-0109</t>
  </si>
  <si>
    <t>P. Ulyatt</t>
  </si>
  <si>
    <t>425-09-9414</t>
  </si>
  <si>
    <t>P. Jelphs</t>
  </si>
  <si>
    <t>330-63-9568</t>
  </si>
  <si>
    <t>U. Mungane</t>
  </si>
  <si>
    <t>804-61-6179</t>
  </si>
  <si>
    <t>V. Stable</t>
  </si>
  <si>
    <t>852-57-5614</t>
  </si>
  <si>
    <t>D. Bury</t>
  </si>
  <si>
    <t>809-24-5383</t>
  </si>
  <si>
    <t>B. Beney</t>
  </si>
  <si>
    <t>771-04-6699</t>
  </si>
  <si>
    <t>L. Betke</t>
  </si>
  <si>
    <t>897-32-9183</t>
  </si>
  <si>
    <t>I. Hunstone</t>
  </si>
  <si>
    <t>803-60-2987</t>
  </si>
  <si>
    <t>P. Chanders</t>
  </si>
  <si>
    <t>740-89-0160</t>
  </si>
  <si>
    <t>Q. Pickaver</t>
  </si>
  <si>
    <t>799-98-8144</t>
  </si>
  <si>
    <t>Q. Aronov</t>
  </si>
  <si>
    <t>546-75-6534</t>
  </si>
  <si>
    <t>R. Tosspell</t>
  </si>
  <si>
    <t>642-16-2520</t>
  </si>
  <si>
    <t>W. Seamark</t>
  </si>
  <si>
    <t>534-24-2222</t>
  </si>
  <si>
    <t>R. Everall</t>
  </si>
  <si>
    <t>653-94-5107</t>
  </si>
  <si>
    <t>G. Oury</t>
  </si>
  <si>
    <t>693-10-4073</t>
  </si>
  <si>
    <t>F. McRobb</t>
  </si>
  <si>
    <t>388-03-3882</t>
  </si>
  <si>
    <t>K. Jacobsson</t>
  </si>
  <si>
    <t>132-94-9742</t>
  </si>
  <si>
    <t>E. Nappin</t>
  </si>
  <si>
    <t>276-99-1686</t>
  </si>
  <si>
    <t>N. Windsor</t>
  </si>
  <si>
    <t>691-45-0118</t>
  </si>
  <si>
    <t>P. Ofield</t>
  </si>
  <si>
    <t>736-03-3064</t>
  </si>
  <si>
    <t>R. O'Crevan</t>
  </si>
  <si>
    <t>636-85-3446</t>
  </si>
  <si>
    <t>Y. McAne</t>
  </si>
  <si>
    <t>652-35-9074</t>
  </si>
  <si>
    <t>K. Mahaffey</t>
  </si>
  <si>
    <t>617-79-1591</t>
  </si>
  <si>
    <t>E. Cromer</t>
  </si>
  <si>
    <t>157-11-4628</t>
  </si>
  <si>
    <t>T. Colaco</t>
  </si>
  <si>
    <t>535-70-1320</t>
  </si>
  <si>
    <t>E. Meus</t>
  </si>
  <si>
    <t>376-17-6252</t>
  </si>
  <si>
    <t>F. Tonbridge</t>
  </si>
  <si>
    <t>545-60-6889</t>
  </si>
  <si>
    <t>M. Brabin</t>
  </si>
  <si>
    <t>131-23-8601</t>
  </si>
  <si>
    <t>N. Ragborne</t>
  </si>
  <si>
    <t>243-26-2463</t>
  </si>
  <si>
    <t>P. Mongan</t>
  </si>
  <si>
    <t>890-65-9881</t>
  </si>
  <si>
    <t>P. Lawrance</t>
  </si>
  <si>
    <t>650-24-3956</t>
  </si>
  <si>
    <t>T. Pollastrino</t>
  </si>
  <si>
    <t>421-24-6442</t>
  </si>
  <si>
    <t>T. Teague</t>
  </si>
  <si>
    <t>784-71-5298</t>
  </si>
  <si>
    <t>V. Clapston</t>
  </si>
  <si>
    <t>669-62-5609</t>
  </si>
  <si>
    <t>Y. Dowglass</t>
  </si>
  <si>
    <t>657-80-6910</t>
  </si>
  <si>
    <t>Y. Dooley</t>
  </si>
  <si>
    <t>764-74-1398</t>
  </si>
  <si>
    <t>Z. Heyfield</t>
  </si>
  <si>
    <t>636-48-7628</t>
  </si>
  <si>
    <t>O. Stables</t>
  </si>
  <si>
    <t>667-93-9784</t>
  </si>
  <si>
    <t>P. Garlant</t>
  </si>
  <si>
    <t>168-07-4106</t>
  </si>
  <si>
    <t>P. Monnoyer</t>
  </si>
  <si>
    <t>484-72-9497</t>
  </si>
  <si>
    <t>F. Abelovitz</t>
  </si>
  <si>
    <t>559-31-6017</t>
  </si>
  <si>
    <t>A. Heggman</t>
  </si>
  <si>
    <t>263-80-6685</t>
  </si>
  <si>
    <t>C. Bartkowiak</t>
  </si>
  <si>
    <t>149-68-0241</t>
  </si>
  <si>
    <t>E. Hemerijk</t>
  </si>
  <si>
    <t>540-07-7543</t>
  </si>
  <si>
    <t>Z. Izakson</t>
  </si>
  <si>
    <t>608-45-3024</t>
  </si>
  <si>
    <t>K. Querree</t>
  </si>
  <si>
    <t>782-82-3086</t>
  </si>
  <si>
    <t>T. Sabbins</t>
  </si>
  <si>
    <t>585-23-3839</t>
  </si>
  <si>
    <t>S. Salway</t>
  </si>
  <si>
    <t>730-92-9749</t>
  </si>
  <si>
    <t>A. Hearty</t>
  </si>
  <si>
    <t>624-35-0744</t>
  </si>
  <si>
    <t>G. Routham</t>
  </si>
  <si>
    <t>853-11-6791</t>
  </si>
  <si>
    <t>H. Robshaw</t>
  </si>
  <si>
    <t>270-86-7036</t>
  </si>
  <si>
    <t>I. Francesco</t>
  </si>
  <si>
    <t>657-17-7377</t>
  </si>
  <si>
    <t>J. Howroyd</t>
  </si>
  <si>
    <t>673-14-9836</t>
  </si>
  <si>
    <t>R. Hause</t>
  </si>
  <si>
    <t>693-67-1165</t>
  </si>
  <si>
    <t>U. Bredes</t>
  </si>
  <si>
    <t>588-44-5318</t>
  </si>
  <si>
    <t>Y. Challenor</t>
  </si>
  <si>
    <t>410-50-5126</t>
  </si>
  <si>
    <t>E. Rove</t>
  </si>
  <si>
    <t>204-16-6516</t>
  </si>
  <si>
    <t>Q. Austing</t>
  </si>
  <si>
    <t>488-56-9052</t>
  </si>
  <si>
    <t>B. Lowensohn</t>
  </si>
  <si>
    <t>266-27-4585</t>
  </si>
  <si>
    <t>J. Voss</t>
  </si>
  <si>
    <t>778-87-4111</t>
  </si>
  <si>
    <t>E. Brede</t>
  </si>
  <si>
    <t>609-16-8648</t>
  </si>
  <si>
    <t>E. Kornilov</t>
  </si>
  <si>
    <t>475-98-9744</t>
  </si>
  <si>
    <t>H. Melwall</t>
  </si>
  <si>
    <t>535-41-2592</t>
  </si>
  <si>
    <t>I. Penhale</t>
  </si>
  <si>
    <t>560-75-3252</t>
  </si>
  <si>
    <t>J. Rathbourne</t>
  </si>
  <si>
    <t>874-33-1108</t>
  </si>
  <si>
    <t>K. Poxson</t>
  </si>
  <si>
    <t>372-95-8455</t>
  </si>
  <si>
    <t>M. Kirsop</t>
  </si>
  <si>
    <t>677-73-9012</t>
  </si>
  <si>
    <t>P. Jendrassik</t>
  </si>
  <si>
    <t>121-36-1815</t>
  </si>
  <si>
    <t>Q. Antoons</t>
  </si>
  <si>
    <t>460-02-7369</t>
  </si>
  <si>
    <t>U. Lowrance</t>
  </si>
  <si>
    <t>153-71-0593</t>
  </si>
  <si>
    <t>Y. Ellson</t>
  </si>
  <si>
    <t>896-97-4839</t>
  </si>
  <si>
    <t>Y. Scanlin</t>
  </si>
  <si>
    <t>891-29-4509</t>
  </si>
  <si>
    <t>Z. Lockley</t>
  </si>
  <si>
    <t>833-39-1167</t>
  </si>
  <si>
    <t>F. Woof</t>
  </si>
  <si>
    <t>231-60-4242</t>
  </si>
  <si>
    <t>G. Sapshed</t>
  </si>
  <si>
    <t>126-78-2755</t>
  </si>
  <si>
    <t>X. Huchot</t>
  </si>
  <si>
    <t>356-76-1028</t>
  </si>
  <si>
    <t>V. O'Hagerty</t>
  </si>
  <si>
    <t>518-65-2607</t>
  </si>
  <si>
    <t>T. Monte</t>
  </si>
  <si>
    <t>119-06-4805</t>
  </si>
  <si>
    <t>Q. Franzen</t>
  </si>
  <si>
    <t>873-82-4124</t>
  </si>
  <si>
    <t>Z. Zeale</t>
  </si>
  <si>
    <t>565-93-5453</t>
  </si>
  <si>
    <t>J. Hellin</t>
  </si>
  <si>
    <t>468-76-5399</t>
  </si>
  <si>
    <t>N. Talby</t>
  </si>
  <si>
    <t>632-60-1284</t>
  </si>
  <si>
    <t>O. Shorter</t>
  </si>
  <si>
    <t>529-27-8936</t>
  </si>
  <si>
    <t>W. Birtonshaw</t>
  </si>
  <si>
    <t>834-60-1903</t>
  </si>
  <si>
    <t>M. Lambdean</t>
  </si>
  <si>
    <t>620-19-3129</t>
  </si>
  <si>
    <t>A. Plumb</t>
  </si>
  <si>
    <t>427-87-8857</t>
  </si>
  <si>
    <t>F. Pessler</t>
  </si>
  <si>
    <t>647-71-3507</t>
  </si>
  <si>
    <t>W. Laurentino</t>
  </si>
  <si>
    <t>187-98-7243</t>
  </si>
  <si>
    <t>M. Hessle</t>
  </si>
  <si>
    <t>484-09-1969</t>
  </si>
  <si>
    <t>G. Dougill</t>
  </si>
  <si>
    <t>748-48-5657</t>
  </si>
  <si>
    <t>L. Plunket</t>
  </si>
  <si>
    <t>449-78-6801</t>
  </si>
  <si>
    <t>V. Bloomfield</t>
  </si>
  <si>
    <t>711-78-4446</t>
  </si>
  <si>
    <t>G. Pretious</t>
  </si>
  <si>
    <t>840-85-3205</t>
  </si>
  <si>
    <t>F. Siemandl</t>
  </si>
  <si>
    <t>652-20-7712</t>
  </si>
  <si>
    <t>B. Bees</t>
  </si>
  <si>
    <t>248-33-3339</t>
  </si>
  <si>
    <t>V. Swayne</t>
  </si>
  <si>
    <t>644-22-9798</t>
  </si>
  <si>
    <t>A. Netting</t>
  </si>
  <si>
    <t>296-44-2419</t>
  </si>
  <si>
    <t>S. Wickenden</t>
  </si>
  <si>
    <t>330-83-0888</t>
  </si>
  <si>
    <t>T. Brian</t>
  </si>
  <si>
    <t>754-85-3101</t>
  </si>
  <si>
    <t>F. Humpherston</t>
  </si>
  <si>
    <t>344-12-7337</t>
  </si>
  <si>
    <t>B. Rickersey</t>
  </si>
  <si>
    <t>801-16-0380</t>
  </si>
  <si>
    <t>V. Hatherell</t>
  </si>
  <si>
    <t>472-22-1392</t>
  </si>
  <si>
    <t>N. Abbatt</t>
  </si>
  <si>
    <t>248-40-1832</t>
  </si>
  <si>
    <t>K. Hobbing</t>
  </si>
  <si>
    <t>895-70-7727</t>
  </si>
  <si>
    <t>Z. Yelden</t>
  </si>
  <si>
    <t>421-84-3059</t>
  </si>
  <si>
    <t>C. Earry</t>
  </si>
  <si>
    <t>181-93-2611</t>
  </si>
  <si>
    <t>G. Molan</t>
  </si>
  <si>
    <t>412-75-9383</t>
  </si>
  <si>
    <t>R. Potzold</t>
  </si>
  <si>
    <t>419-92-1735</t>
  </si>
  <si>
    <t>R. McNeice</t>
  </si>
  <si>
    <t>436-04-4586</t>
  </si>
  <si>
    <t>T. Himpson</t>
  </si>
  <si>
    <t>555-74-8070</t>
  </si>
  <si>
    <t>N. Baxstare</t>
  </si>
  <si>
    <t>876-14-0295</t>
  </si>
  <si>
    <t>E. Bellhouse</t>
  </si>
  <si>
    <t>464-43-6789</t>
  </si>
  <si>
    <t>B. Philippard</t>
  </si>
  <si>
    <t>734-44-6625</t>
  </si>
  <si>
    <t>C. O'Halloran</t>
  </si>
  <si>
    <t>263-80-0452</t>
  </si>
  <si>
    <t>C. Dermott</t>
  </si>
  <si>
    <t>363-49-1560</t>
  </si>
  <si>
    <t>C. Dunford</t>
  </si>
  <si>
    <t>407-58-7271</t>
  </si>
  <si>
    <t>H. Hillyatt</t>
  </si>
  <si>
    <t>178-57-5719</t>
  </si>
  <si>
    <t>I. Frain</t>
  </si>
  <si>
    <t>380-36-1654</t>
  </si>
  <si>
    <t>S. William</t>
  </si>
  <si>
    <t>432-34-6666</t>
  </si>
  <si>
    <t>S. Mapson</t>
  </si>
  <si>
    <t>433-05-4611</t>
  </si>
  <si>
    <t>V. Barmadier</t>
  </si>
  <si>
    <t>792-55-4914</t>
  </si>
  <si>
    <t>X. Lytell</t>
  </si>
  <si>
    <t>708-49-4528</t>
  </si>
  <si>
    <t>Y. Dillicate</t>
  </si>
  <si>
    <t>480-89-1845</t>
  </si>
  <si>
    <t>O. Purcer</t>
  </si>
  <si>
    <t>822-88-4417</t>
  </si>
  <si>
    <t>E. Bertenshaw</t>
  </si>
  <si>
    <t>785-59-9671</t>
  </si>
  <si>
    <t>U. Mapston</t>
  </si>
  <si>
    <t>115-32-2532</t>
  </si>
  <si>
    <t>P. Bowker</t>
  </si>
  <si>
    <t>377-92-8039</t>
  </si>
  <si>
    <t>G. Vogelein</t>
  </si>
  <si>
    <t>133-11-6007</t>
  </si>
  <si>
    <t>C. Shervil</t>
  </si>
  <si>
    <t>686-06-2832</t>
  </si>
  <si>
    <t>J. Ghilardi</t>
  </si>
  <si>
    <t>349-17-8032</t>
  </si>
  <si>
    <t>J. Milton-White</t>
  </si>
  <si>
    <t>101-35-7039</t>
  </si>
  <si>
    <t>T. Ganter</t>
  </si>
  <si>
    <t>589-25-9796</t>
  </si>
  <si>
    <t>C. Powling</t>
  </si>
  <si>
    <t>590-50-6357</t>
  </si>
  <si>
    <t>C. Garraway</t>
  </si>
  <si>
    <t>150-49-5439</t>
  </si>
  <si>
    <t>C. Swalough</t>
  </si>
  <si>
    <t>244-74-1250</t>
  </si>
  <si>
    <t>E. Syrett</t>
  </si>
  <si>
    <t>106-76-9218</t>
  </si>
  <si>
    <t>E. Ruggiero</t>
  </si>
  <si>
    <t>211-82-9691</t>
  </si>
  <si>
    <t>E. Yerson</t>
  </si>
  <si>
    <t>673-82-3180</t>
  </si>
  <si>
    <t>F. Judron</t>
  </si>
  <si>
    <t>162-53-8400</t>
  </si>
  <si>
    <t>I. Wolstenholme</t>
  </si>
  <si>
    <t>763-50-4006</t>
  </si>
  <si>
    <t>J. McReedy</t>
  </si>
  <si>
    <t>262-40-0374</t>
  </si>
  <si>
    <t>L. Stetlye</t>
  </si>
  <si>
    <t>518-94-0881</t>
  </si>
  <si>
    <t>P. Cromblehome</t>
  </si>
  <si>
    <t>867-81-0165</t>
  </si>
  <si>
    <t>R. Bricket</t>
  </si>
  <si>
    <t>599-28-2215</t>
  </si>
  <si>
    <t>S. Houseman</t>
  </si>
  <si>
    <t>879-07-2777</t>
  </si>
  <si>
    <t>T. McReynolds</t>
  </si>
  <si>
    <t>399-14-1417</t>
  </si>
  <si>
    <t>U. Drought</t>
  </si>
  <si>
    <t>393-27-7025</t>
  </si>
  <si>
    <t>Y. MacCarroll</t>
  </si>
  <si>
    <t>709-72-3840</t>
  </si>
  <si>
    <t>Z. Simoncello</t>
  </si>
  <si>
    <t>222-82-2788</t>
  </si>
  <si>
    <t>L. Giannazzo</t>
  </si>
  <si>
    <t>575-80-4899</t>
  </si>
  <si>
    <t>C. Todaro</t>
  </si>
  <si>
    <t>443-64-7889</t>
  </si>
  <si>
    <t>C. Ashdown</t>
  </si>
  <si>
    <t>528-29-5097</t>
  </si>
  <si>
    <t>O. Bolmann</t>
  </si>
  <si>
    <t>296-68-1456</t>
  </si>
  <si>
    <t>K. Abbati</t>
  </si>
  <si>
    <t>169-60-6555</t>
  </si>
  <si>
    <t>N. Giral</t>
  </si>
  <si>
    <t>779-25-0290</t>
  </si>
  <si>
    <t>V. Pratten</t>
  </si>
  <si>
    <t>570-14-8462</t>
  </si>
  <si>
    <t>C. Meeland</t>
  </si>
  <si>
    <t>804-04-1122</t>
  </si>
  <si>
    <t>E. Humpatch</t>
  </si>
  <si>
    <t>721-25-3053</t>
  </si>
  <si>
    <t>O. Saffill</t>
  </si>
  <si>
    <t>554-45-2268</t>
  </si>
  <si>
    <t>Q. Manoelli</t>
  </si>
  <si>
    <t>654-49-3579</t>
  </si>
  <si>
    <t>T. Alessandrucci</t>
  </si>
  <si>
    <t>208-73-8872</t>
  </si>
  <si>
    <t>L. Gerran</t>
  </si>
  <si>
    <t>365-99-9238</t>
  </si>
  <si>
    <t>N. Delbergue</t>
  </si>
  <si>
    <t>743-65-5099</t>
  </si>
  <si>
    <t>M. Peschmann</t>
  </si>
  <si>
    <t>Count of Patient Id</t>
  </si>
  <si>
    <t>No. of Patients</t>
  </si>
  <si>
    <t>Average of Patient Waittime</t>
  </si>
  <si>
    <t>Average of Patient Satisfaction Score</t>
  </si>
  <si>
    <t>Row Labels</t>
  </si>
  <si>
    <t>Grand Total</t>
  </si>
  <si>
    <t>2023</t>
  </si>
  <si>
    <t>Count of Patient Admission Flag</t>
  </si>
  <si>
    <t>Count of Patient Admission Flag3</t>
  </si>
  <si>
    <t>Admission Status</t>
  </si>
  <si>
    <t>% Status</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</si>
  <si>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</si>
  <si>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</si>
  <si>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</si>
  <si>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</si>
  <si>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</si>
  <si>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</si>
  <si>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</si>
  <si>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</si>
  <si>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</si>
  <si>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</si>
  <si>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</si>
  <si>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</si>
  <si>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Data[Attend Status]</t>
  </si>
  <si>
    <t>20-29</t>
  </si>
  <si>
    <t>On-time</t>
  </si>
  <si>
    <t>70-79</t>
  </si>
  <si>
    <t>Delayed</t>
  </si>
  <si>
    <t>50-59</t>
  </si>
  <si>
    <t>30-39</t>
  </si>
  <si>
    <t>10-19</t>
  </si>
  <si>
    <t>0-9</t>
  </si>
  <si>
    <t>60-69</t>
  </si>
  <si>
    <t>40-49</t>
  </si>
  <si>
    <t>Data returned for Count of Patient Admission Flag3, Admitted, Feb (First 1000 rows).</t>
  </si>
  <si>
    <t>Patients</t>
  </si>
  <si>
    <t>Count of Patient Age</t>
  </si>
  <si>
    <t>Count of Attend Status</t>
  </si>
  <si>
    <t>Count of Patient Gender</t>
  </si>
  <si>
    <t>Count of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</si>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</sst>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0"/>
      <color theme="0"/>
      <name val="Arial"/>
      <family val="2"/>
    </font>
    <font>
      <sz val="10"/>
      <color theme="1"/>
      <name val="Arial"/>
      <family val="2"/>
    </font>
    <font>
      <sz val="11"/>
      <color theme="1"/>
      <name val="Arial"/>
      <family val="2"/>
    </font>
  </fonts>
  <fills count="5">
    <fill>
      <patternFill patternType="none"/>
    </fill>
    <fill>
      <patternFill patternType="gray125"/>
    </fill>
    <fill>
      <patternFill patternType="solid">
        <fgColor theme="1" tint="0.34998626667073579"/>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29">
    <xf numFmtId="0" fontId="0" fillId="0" borderId="0" xfId="0"/>
    <xf numFmtId="14" fontId="0" fillId="0" borderId="0" xfId="0" applyNumberFormat="1"/>
    <xf numFmtId="0" fontId="0" fillId="2" borderId="0" xfId="0" applyFill="1"/>
    <xf numFmtId="21" fontId="0" fillId="0" borderId="0" xfId="0" applyNumberFormat="1"/>
    <xf numFmtId="0" fontId="1" fillId="0" borderId="0" xfId="0" applyFon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2" fontId="3" fillId="4" borderId="5" xfId="0" applyNumberFormat="1"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2" fontId="3" fillId="4" borderId="8" xfId="0" applyNumberFormat="1" applyFont="1" applyFill="1" applyBorder="1" applyAlignment="1">
      <alignment horizontal="center" vertical="center"/>
    </xf>
    <xf numFmtId="0" fontId="3" fillId="4" borderId="9" xfId="0" applyFont="1" applyFill="1" applyBorder="1" applyAlignment="1">
      <alignment horizontal="center" vertical="center"/>
    </xf>
    <xf numFmtId="0" fontId="4" fillId="0" borderId="0" xfId="0" pivotButton="1" applyFont="1"/>
    <xf numFmtId="0" fontId="4" fillId="0" borderId="0" xfId="0" applyFont="1"/>
    <xf numFmtId="0" fontId="4" fillId="0" borderId="0" xfId="0" applyFont="1" applyAlignment="1">
      <alignment horizontal="left"/>
    </xf>
    <xf numFmtId="2" fontId="4" fillId="0" borderId="0" xfId="0" applyNumberFormat="1" applyFont="1"/>
    <xf numFmtId="10" fontId="4" fillId="0" borderId="0" xfId="0" applyNumberFormat="1" applyFont="1"/>
    <xf numFmtId="1" fontId="4" fillId="0" borderId="0" xfId="0" applyNumberFormat="1" applyFont="1"/>
    <xf numFmtId="0" fontId="4" fillId="0" borderId="1" xfId="0" applyFont="1" applyBorder="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0" xfId="0" applyNumberFormat="1" applyFont="1"/>
  </cellXfs>
  <cellStyles count="1">
    <cellStyle name="Normal" xfId="0" builtinId="0"/>
  </cellStyles>
  <dxfs count="136">
    <dxf>
      <numFmt numFmtId="1" formatCode="0"/>
    </dxf>
    <dxf>
      <font>
        <name val="Arial"/>
        <scheme val="none"/>
      </font>
    </dxf>
    <dxf>
      <font>
        <name val="Arial"/>
        <scheme val="none"/>
      </font>
    </dxf>
    <dxf>
      <font>
        <name val="Arial"/>
        <scheme val="none"/>
      </font>
    </dxf>
    <dxf>
      <font>
        <name val="Arial"/>
        <scheme val="none"/>
      </font>
    </dxf>
    <dxf>
      <numFmt numFmtId="1" formatCode="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 formatCode="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 formatCode="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4"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font>
        <name val="Arial"/>
        <scheme val="none"/>
      </font>
    </dxf>
    <dxf>
      <font>
        <name val="Arial"/>
        <scheme val="none"/>
      </font>
    </dxf>
    <dxf>
      <font>
        <name val="Arial"/>
        <scheme val="none"/>
      </font>
    </dxf>
    <dxf>
      <numFmt numFmtId="2"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4" formatCode="0.00%"/>
    </dxf>
    <dxf>
      <numFmt numFmtId="2" formatCode="0.00"/>
    </dxf>
    <dxf>
      <numFmt numFmtId="26" formatCode="hh:mm:ss"/>
    </dxf>
    <dxf>
      <numFmt numFmtId="19" formatCode="dd/mm/yyyy"/>
    </dxf>
    <dxf>
      <font>
        <b/>
        <color theme="1"/>
      </font>
      <border>
        <bottom style="thin">
          <color theme="4"/>
        </bottom>
        <vertical/>
        <horizontal/>
      </border>
    </dxf>
    <dxf>
      <font>
        <b/>
        <i val="0"/>
        <sz val="11"/>
        <color theme="1"/>
        <name val="Arial"/>
        <family val="2"/>
        <scheme val="none"/>
      </font>
      <fill>
        <patternFill patternType="none">
          <bgColor auto="1"/>
        </patternFill>
      </fill>
      <border diagonalUp="0" diagonalDown="0">
        <left/>
        <right/>
        <top/>
        <bottom/>
        <vertical/>
        <horizontal/>
      </border>
    </dxf>
    <dxf>
      <font>
        <b/>
        <color theme="1"/>
      </font>
      <border>
        <bottom style="thin">
          <color theme="5"/>
        </bottom>
        <vertical/>
        <horizontal/>
      </border>
    </dxf>
    <dxf>
      <font>
        <b/>
        <i val="0"/>
        <sz val="11"/>
        <color theme="1"/>
        <name val="Arial"/>
        <family val="2"/>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My Slicer" pivot="0" table="0" count="10" xr9:uid="{A7B264C8-8F72-43CC-9242-1E53933F23B3}">
      <tableStyleElement type="wholeTable" dxfId="135"/>
      <tableStyleElement type="headerRow" dxfId="134"/>
    </tableStyle>
    <tableStyle name="SLICER 2" pivot="0" table="0" count="10" xr9:uid="{1FD4470A-AEC4-45A7-AF95-17D986337765}">
      <tableStyleElement type="wholeTable" dxfId="133"/>
      <tableStyleElement type="headerRow" dxfId="13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[healthcare_analysis.xlsx]Calender Table!PivotTable5</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pivotFmt>
      <c:pivotFmt>
        <c:idx val="3"/>
        <c:spPr>
          <a:solidFill>
            <a:srgbClr val="002060"/>
          </a:solidFill>
          <a:ln w="12700">
            <a:noFill/>
          </a:ln>
          <a:effectLst/>
        </c:spPr>
      </c:pivotFmt>
    </c:pivotFmts>
    <c:plotArea>
      <c:layout>
        <c:manualLayout>
          <c:layoutTarget val="inner"/>
          <c:xMode val="edge"/>
          <c:yMode val="edge"/>
          <c:x val="0"/>
          <c:y val="0.12816398136060056"/>
          <c:w val="1"/>
          <c:h val="0.85530843355658825"/>
        </c:manualLayout>
      </c:layout>
      <c:barChart>
        <c:barDir val="bar"/>
        <c:grouping val="clustered"/>
        <c:varyColors val="0"/>
        <c:ser>
          <c:idx val="0"/>
          <c:order val="0"/>
          <c:tx>
            <c:strRef>
              <c:f>'Calender Table'!$B$39</c:f>
              <c:strCache>
                <c:ptCount val="1"/>
                <c:pt idx="0">
                  <c:v>Count of Patient Admission Flag</c:v>
                </c:pt>
              </c:strCache>
            </c:strRef>
          </c:tx>
          <c:spPr>
            <a:solidFill>
              <a:srgbClr val="002060"/>
            </a:solidFill>
            <a:ln>
              <a:noFill/>
            </a:ln>
            <a:effectLst/>
          </c:spPr>
          <c:invertIfNegative val="0"/>
          <c:dPt>
            <c:idx val="1"/>
            <c:invertIfNegative val="0"/>
            <c:bubble3D val="0"/>
            <c:spPr>
              <a:solidFill>
                <a:srgbClr val="002060"/>
              </a:solidFill>
              <a:ln w="12700">
                <a:noFill/>
              </a:ln>
              <a:effectLst/>
            </c:spPr>
            <c:extLst>
              <c:ext xmlns:c16="http://schemas.microsoft.com/office/drawing/2014/chart" uri="{C3380CC4-5D6E-409C-BE32-E72D297353CC}">
                <c16:uniqueId val="{00000001-4625-49F1-8E44-A69BFC113956}"/>
              </c:ext>
            </c:extLst>
          </c:dPt>
          <c:cat>
            <c:strRef>
              <c:f>'Calender Table'!$A$40:$A$42</c:f>
              <c:strCache>
                <c:ptCount val="2"/>
                <c:pt idx="0">
                  <c:v>Admitted</c:v>
                </c:pt>
                <c:pt idx="1">
                  <c:v>Not Admitted</c:v>
                </c:pt>
              </c:strCache>
            </c:strRef>
          </c:cat>
          <c:val>
            <c:numRef>
              <c:f>'Calender Table'!$B$40:$B$42</c:f>
              <c:numCache>
                <c:formatCode>0.00</c:formatCode>
                <c:ptCount val="2"/>
                <c:pt idx="0">
                  <c:v>229</c:v>
                </c:pt>
                <c:pt idx="1">
                  <c:v>251</c:v>
                </c:pt>
              </c:numCache>
            </c:numRef>
          </c:val>
          <c:extLst>
            <c:ext xmlns:c16="http://schemas.microsoft.com/office/drawing/2014/chart" uri="{C3380CC4-5D6E-409C-BE32-E72D297353CC}">
              <c16:uniqueId val="{0000000A-6E5A-4F4C-8675-183724F09405}"/>
            </c:ext>
          </c:extLst>
        </c:ser>
        <c:ser>
          <c:idx val="1"/>
          <c:order val="1"/>
          <c:tx>
            <c:strRef>
              <c:f>'Calender Table'!$C$39</c:f>
              <c:strCache>
                <c:ptCount val="1"/>
                <c:pt idx="0">
                  <c:v>Count of Patient Admission Flag3</c:v>
                </c:pt>
              </c:strCache>
            </c:strRef>
          </c:tx>
          <c:spPr>
            <a:noFill/>
            <a:ln>
              <a:noFill/>
            </a:ln>
            <a:effectLst/>
          </c:spPr>
          <c:invertIfNegative val="0"/>
          <c:cat>
            <c:strRef>
              <c:f>'Calender Table'!$A$40:$A$42</c:f>
              <c:strCache>
                <c:ptCount val="2"/>
                <c:pt idx="0">
                  <c:v>Admitted</c:v>
                </c:pt>
                <c:pt idx="1">
                  <c:v>Not Admitted</c:v>
                </c:pt>
              </c:strCache>
            </c:strRef>
          </c:cat>
          <c:val>
            <c:numRef>
              <c:f>'Calender Table'!$C$40:$C$42</c:f>
              <c:numCache>
                <c:formatCode>0.00%</c:formatCode>
                <c:ptCount val="2"/>
                <c:pt idx="0">
                  <c:v>0.47708333333333336</c:v>
                </c:pt>
                <c:pt idx="1">
                  <c:v>0.5229166666666667</c:v>
                </c:pt>
              </c:numCache>
            </c:numRef>
          </c:val>
          <c:extLst>
            <c:ext xmlns:c16="http://schemas.microsoft.com/office/drawing/2014/chart" uri="{C3380CC4-5D6E-409C-BE32-E72D297353CC}">
              <c16:uniqueId val="{0000000B-6E5A-4F4C-8675-183724F09405}"/>
            </c:ext>
          </c:extLst>
        </c:ser>
        <c:dLbls>
          <c:showLegendKey val="0"/>
          <c:showVal val="0"/>
          <c:showCatName val="0"/>
          <c:showSerName val="0"/>
          <c:showPercent val="0"/>
          <c:showBubbleSize val="0"/>
        </c:dLbls>
        <c:gapWidth val="58"/>
        <c:axId val="155886447"/>
        <c:axId val="155882127"/>
      </c:barChart>
      <c:catAx>
        <c:axId val="155886447"/>
        <c:scaling>
          <c:orientation val="minMax"/>
        </c:scaling>
        <c:delete val="1"/>
        <c:axPos val="l"/>
        <c:numFmt formatCode="General" sourceLinked="1"/>
        <c:majorTickMark val="none"/>
        <c:minorTickMark val="none"/>
        <c:tickLblPos val="nextTo"/>
        <c:crossAx val="155882127"/>
        <c:crosses val="autoZero"/>
        <c:auto val="1"/>
        <c:lblAlgn val="ctr"/>
        <c:lblOffset val="100"/>
        <c:noMultiLvlLbl val="0"/>
      </c:catAx>
      <c:valAx>
        <c:axId val="155882127"/>
        <c:scaling>
          <c:orientation val="minMax"/>
        </c:scaling>
        <c:delete val="1"/>
        <c:axPos val="b"/>
        <c:numFmt formatCode="0.00" sourceLinked="1"/>
        <c:majorTickMark val="none"/>
        <c:minorTickMark val="none"/>
        <c:tickLblPos val="nextTo"/>
        <c:crossAx val="155886447"/>
        <c:crosses val="autoZero"/>
        <c:crossBetween val="between"/>
      </c:valAx>
      <c:spPr>
        <a:noFill/>
        <a:ln w="25400">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[healthcare_analysis.xlsx]Calender Table!PivotTable6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s>
    <c:plotArea>
      <c:layout/>
      <c:barChart>
        <c:barDir val="col"/>
        <c:grouping val="clustered"/>
        <c:varyColors val="0"/>
        <c:ser>
          <c:idx val="0"/>
          <c:order val="0"/>
          <c:tx>
            <c:strRef>
              <c:f>'Calender Table'!$G$39</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'Calender Table'!$F$40:$F$48</c:f>
              <c:strCache>
                <c:ptCount val="8"/>
                <c:pt idx="0">
                  <c:v>0-9</c:v>
                </c:pt>
                <c:pt idx="1">
                  <c:v>10-19</c:v>
                </c:pt>
                <c:pt idx="2">
                  <c:v>20-29</c:v>
                </c:pt>
                <c:pt idx="3">
                  <c:v>30-39</c:v>
                </c:pt>
                <c:pt idx="4">
                  <c:v>40-49</c:v>
                </c:pt>
                <c:pt idx="5">
                  <c:v>50-59</c:v>
                </c:pt>
                <c:pt idx="6">
                  <c:v>60-69</c:v>
                </c:pt>
                <c:pt idx="7">
                  <c:v>70-79</c:v>
                </c:pt>
              </c:strCache>
            </c:strRef>
          </c:cat>
          <c:val>
            <c:numRef>
              <c:f>'Calender Table'!$G$40:$G$48</c:f>
              <c:numCache>
                <c:formatCode>0.00</c:formatCode>
                <c:ptCount val="8"/>
                <c:pt idx="0">
                  <c:v>56</c:v>
                </c:pt>
                <c:pt idx="1">
                  <c:v>54</c:v>
                </c:pt>
                <c:pt idx="2">
                  <c:v>52</c:v>
                </c:pt>
                <c:pt idx="3">
                  <c:v>74</c:v>
                </c:pt>
                <c:pt idx="4">
                  <c:v>60</c:v>
                </c:pt>
                <c:pt idx="5">
                  <c:v>61</c:v>
                </c:pt>
                <c:pt idx="6">
                  <c:v>61</c:v>
                </c:pt>
                <c:pt idx="7">
                  <c:v>62</c:v>
                </c:pt>
              </c:numCache>
            </c:numRef>
          </c:val>
          <c:extLst>
            <c:ext xmlns:c16="http://schemas.microsoft.com/office/drawing/2014/chart" uri="{C3380CC4-5D6E-409C-BE32-E72D297353CC}">
              <c16:uniqueId val="{00000005-6FFB-4982-A3F0-F83E52E3F4A2}"/>
            </c:ext>
          </c:extLst>
        </c:ser>
        <c:dLbls>
          <c:showLegendKey val="0"/>
          <c:showVal val="0"/>
          <c:showCatName val="0"/>
          <c:showSerName val="0"/>
          <c:showPercent val="0"/>
          <c:showBubbleSize val="0"/>
        </c:dLbls>
        <c:gapWidth val="219"/>
        <c:overlap val="-27"/>
        <c:axId val="277276479"/>
        <c:axId val="277278399"/>
      </c:barChart>
      <c:catAx>
        <c:axId val="2772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78399"/>
        <c:crosses val="autoZero"/>
        <c:auto val="1"/>
        <c:lblAlgn val="ctr"/>
        <c:lblOffset val="100"/>
        <c:noMultiLvlLbl val="0"/>
      </c:catAx>
      <c:valAx>
        <c:axId val="277278399"/>
        <c:scaling>
          <c:orientation val="minMax"/>
        </c:scaling>
        <c:delete val="1"/>
        <c:axPos val="l"/>
        <c:numFmt formatCode="0.00" sourceLinked="1"/>
        <c:majorTickMark val="none"/>
        <c:minorTickMark val="none"/>
        <c:tickLblPos val="nextTo"/>
        <c:crossAx val="2772764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[healthcare_analysis.xlsx]Calender Table!PivotTable7</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rgbClr val="0020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a:noFill/>
          </a:ln>
          <a:effectLst>
            <a:outerShdw blurRad="317500" algn="ctr" rotWithShape="0">
              <a:prstClr val="black">
                <a:alpha val="25000"/>
              </a:prstClr>
            </a:outerShdw>
          </a:effectLst>
        </c:spPr>
      </c:pivotFmt>
      <c:pivotFmt>
        <c:idx val="6"/>
        <c:spPr>
          <a:solidFill>
            <a:schemeClr val="tx2">
              <a:lumMod val="60000"/>
              <a:lumOff val="4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3165521657157325"/>
          <c:y val="0.2787725901198671"/>
          <c:w val="0.68889646314904407"/>
          <c:h val="0.7212274098801329"/>
        </c:manualLayout>
      </c:layout>
      <c:pieChart>
        <c:varyColors val="1"/>
        <c:ser>
          <c:idx val="0"/>
          <c:order val="0"/>
          <c:tx>
            <c:strRef>
              <c:f>'Calender Table'!$J$39</c:f>
              <c:strCache>
                <c:ptCount val="1"/>
                <c:pt idx="0">
                  <c:v>Total</c:v>
                </c:pt>
              </c:strCache>
            </c:strRef>
          </c:tx>
          <c:spPr>
            <a:solidFill>
              <a:srgbClr val="002060"/>
            </a:solidFill>
          </c:spPr>
          <c:dPt>
            <c:idx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93-4A50-9699-4E6CB6B402E6}"/>
              </c:ext>
            </c:extLst>
          </c:dPt>
          <c:dPt>
            <c:idx val="1"/>
            <c:bubble3D val="0"/>
            <c:spPr>
              <a:solidFill>
                <a:schemeClr val="tx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93-4A50-9699-4E6CB6B402E6}"/>
              </c:ext>
            </c:extLst>
          </c:dPt>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'Calender Table'!$I$40:$I$42</c:f>
              <c:strCache>
                <c:ptCount val="2"/>
                <c:pt idx="0">
                  <c:v>Delayed</c:v>
                </c:pt>
                <c:pt idx="1">
                  <c:v>On-time</c:v>
                </c:pt>
              </c:strCache>
            </c:strRef>
          </c:cat>
          <c:val>
            <c:numRef>
              <c:f>'Calender Table'!$J$40:$J$42</c:f>
              <c:numCache>
                <c:formatCode>0</c:formatCode>
                <c:ptCount val="2"/>
                <c:pt idx="0">
                  <c:v>267</c:v>
                </c:pt>
                <c:pt idx="1">
                  <c:v>213</c:v>
                </c:pt>
              </c:numCache>
            </c:numRef>
          </c:val>
          <c:extLst>
            <c:ext xmlns:c16="http://schemas.microsoft.com/office/drawing/2014/chart" uri="{C3380CC4-5D6E-409C-BE32-E72D297353CC}">
              <c16:uniqueId val="{00000007-F607-4160-83AF-E59A65065C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6.4495422560387858E-2"/>
          <c:y val="0.15725633288813018"/>
          <c:w val="0.82321551356619893"/>
          <c:h val="0.1063275693315254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[healthcare_analysis.xlsx]Calender Table!PivotTable8</c:name>
    <c:fmtId val="2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lumMod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a:noFill/>
          </a:ln>
          <a:effectLst>
            <a:outerShdw blurRad="317500" algn="ctr" rotWithShape="0">
              <a:prstClr val="black">
                <a:alpha val="25000"/>
              </a:prstClr>
            </a:outerShdw>
          </a:effectLst>
        </c:spPr>
      </c:pivotFmt>
      <c:pivotFmt>
        <c:idx val="6"/>
        <c:spPr>
          <a:solidFill>
            <a:schemeClr val="tx2">
              <a:lumMod val="60000"/>
              <a:lumOff val="4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6043428528567946"/>
          <c:y val="0.29107505584738591"/>
          <c:w val="0.66552318090130536"/>
          <c:h val="0.69915974237878065"/>
        </c:manualLayout>
      </c:layout>
      <c:doughnutChart>
        <c:varyColors val="1"/>
        <c:ser>
          <c:idx val="0"/>
          <c:order val="0"/>
          <c:tx>
            <c:strRef>
              <c:f>'Calender Table'!$M$39</c:f>
              <c:strCache>
                <c:ptCount val="1"/>
                <c:pt idx="0">
                  <c:v>Total</c:v>
                </c:pt>
              </c:strCache>
            </c:strRef>
          </c:tx>
          <c:spPr>
            <a:solidFill>
              <a:schemeClr val="accent1">
                <a:lumMod val="50000"/>
              </a:schemeClr>
            </a:solidFill>
          </c:spPr>
          <c:dPt>
            <c:idx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99B-4F5A-9368-ADABB73C235C}"/>
              </c:ext>
            </c:extLst>
          </c:dPt>
          <c:dPt>
            <c:idx val="1"/>
            <c:bubble3D val="0"/>
            <c:spPr>
              <a:solidFill>
                <a:schemeClr val="tx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99B-4F5A-9368-ADABB73C23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'Calender Table'!$L$40:$L$42</c:f>
              <c:strCache>
                <c:ptCount val="2"/>
                <c:pt idx="0">
                  <c:v>Female</c:v>
                </c:pt>
                <c:pt idx="1">
                  <c:v>Male</c:v>
                </c:pt>
              </c:strCache>
            </c:strRef>
          </c:cat>
          <c:val>
            <c:numRef>
              <c:f>'Calender Table'!$M$40:$M$42</c:f>
              <c:numCache>
                <c:formatCode>0</c:formatCode>
                <c:ptCount val="2"/>
                <c:pt idx="0">
                  <c:v>261</c:v>
                </c:pt>
                <c:pt idx="1">
                  <c:v>219</c:v>
                </c:pt>
              </c:numCache>
            </c:numRef>
          </c:val>
          <c:extLst>
            <c:ext xmlns:c16="http://schemas.microsoft.com/office/drawing/2014/chart" uri="{C3380CC4-5D6E-409C-BE32-E72D297353CC}">
              <c16:uniqueId val="{00000007-9580-447D-8966-694D46B79AA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egendEntry>
        <c:idx val="0"/>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ayout>
        <c:manualLayout>
          <c:xMode val="edge"/>
          <c:yMode val="edge"/>
          <c:x val="0.18027446872915567"/>
          <c:y val="0.16440434801940884"/>
          <c:w val="0.6598628995748762"/>
          <c:h val="0.1063275693315254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[healthcare_analysis.xlsx]Calender Table!PivotTable9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7024317669784"/>
          <c:y val="0"/>
          <c:w val="0.73306002003180681"/>
          <c:h val="0.9919407345734873"/>
        </c:manualLayout>
      </c:layout>
      <c:barChart>
        <c:barDir val="bar"/>
        <c:grouping val="clustered"/>
        <c:varyColors val="0"/>
        <c:ser>
          <c:idx val="0"/>
          <c:order val="0"/>
          <c:tx>
            <c:strRef>
              <c:f>'Calender Table'!$P$39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'Calender Table'!$O$40:$O$48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'Calender Table'!$P$40:$P$48</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738D-4789-AB12-0984382A5A82}"/>
            </c:ext>
          </c:extLst>
        </c:ser>
        <c:dLbls>
          <c:dLblPos val="outEnd"/>
          <c:showLegendKey val="0"/>
          <c:showVal val="1"/>
          <c:showCatName val="0"/>
          <c:showSerName val="0"/>
          <c:showPercent val="0"/>
          <c:showBubbleSize val="0"/>
        </c:dLbls>
        <c:gapWidth val="64"/>
        <c:axId val="277275519"/>
        <c:axId val="277277439"/>
      </c:barChart>
      <c:catAx>
        <c:axId val="277275519"/>
        <c:scaling>
          <c:orientation val="minMax"/>
        </c:scaling>
        <c:delete val="0"/>
        <c:axPos val="l"/>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7277439"/>
        <c:crosses val="autoZero"/>
        <c:auto val="1"/>
        <c:lblAlgn val="ctr"/>
        <c:lblOffset val="100"/>
        <c:noMultiLvlLbl val="0"/>
      </c:catAx>
      <c:valAx>
        <c:axId val="277277439"/>
        <c:scaling>
          <c:orientation val="minMax"/>
        </c:scaling>
        <c:delete val="1"/>
        <c:axPos val="b"/>
        <c:numFmt formatCode="0" sourceLinked="1"/>
        <c:majorTickMark val="none"/>
        <c:minorTickMark val="none"/>
        <c:tickLblPos val="nextTo"/>
        <c:crossAx val="27727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15873</xdr:colOff>
      <xdr:row>45</xdr:row>
      <xdr:rowOff>47037</xdr:rowOff>
    </xdr:from>
    <xdr:to>
      <xdr:col>3</xdr:col>
      <xdr:colOff>1658054</xdr:colOff>
      <xdr:row>48</xdr:row>
      <xdr:rowOff>29399</xdr:rowOff>
    </xdr:to>
    <xdr:graphicFrame macro="">
      <xdr:nvGraphicFramePr>
        <xdr:cNvPr id="3" name="Chart 2">
          <a:extLst>
            <a:ext uri="{FF2B5EF4-FFF2-40B4-BE49-F238E27FC236}">
              <a16:creationId xmlns:a16="http://schemas.microsoft.com/office/drawing/2014/main" id="{94832C44-5127-F6AD-823F-9480F0CA3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57726</xdr:colOff>
      <xdr:row>0</xdr:row>
      <xdr:rowOff>64141</xdr:rowOff>
    </xdr:from>
    <xdr:to>
      <xdr:col>5</xdr:col>
      <xdr:colOff>128283</xdr:colOff>
      <xdr:row>3</xdr:row>
      <xdr:rowOff>179596</xdr:rowOff>
    </xdr:to>
    <xdr:sp macro="" textlink="">
      <xdr:nvSpPr>
        <xdr:cNvPr id="2" name="Rectangle: Rounded Corners 1">
          <a:extLst>
            <a:ext uri="{FF2B5EF4-FFF2-40B4-BE49-F238E27FC236}">
              <a16:creationId xmlns:a16="http://schemas.microsoft.com/office/drawing/2014/main" id="{D847EB40-7D66-A53D-78C0-2CE5CD0D4D99}"/>
            </a:ext>
          </a:extLst>
        </xdr:cNvPr>
        <xdr:cNvSpPr/>
      </xdr:nvSpPr>
      <xdr:spPr>
        <a:xfrm>
          <a:off x="57726" y="64141"/>
          <a:ext cx="3117274" cy="673485"/>
        </a:xfrm>
        <a:prstGeom prst="roundRect">
          <a:avLst>
            <a:gd name="adj" fmla="val 14324"/>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186010</xdr:colOff>
      <xdr:row>0</xdr:row>
      <xdr:rowOff>64141</xdr:rowOff>
    </xdr:from>
    <xdr:to>
      <xdr:col>7</xdr:col>
      <xdr:colOff>109039</xdr:colOff>
      <xdr:row>3</xdr:row>
      <xdr:rowOff>179596</xdr:rowOff>
    </xdr:to>
    <xdr:sp macro="" textlink="">
      <xdr:nvSpPr>
        <xdr:cNvPr id="3" name="Rectangle: Rounded Corners 2">
          <a:extLst>
            <a:ext uri="{FF2B5EF4-FFF2-40B4-BE49-F238E27FC236}">
              <a16:creationId xmlns:a16="http://schemas.microsoft.com/office/drawing/2014/main" id="{0168AF73-A011-2141-8633-05902DEFCD55}"/>
            </a:ext>
          </a:extLst>
        </xdr:cNvPr>
        <xdr:cNvSpPr/>
      </xdr:nvSpPr>
      <xdr:spPr>
        <a:xfrm>
          <a:off x="3232727" y="64141"/>
          <a:ext cx="1141716" cy="673485"/>
        </a:xfrm>
        <a:prstGeom prst="roundRect">
          <a:avLst>
            <a:gd name="adj" fmla="val 13372"/>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160352</xdr:colOff>
      <xdr:row>0</xdr:row>
      <xdr:rowOff>64141</xdr:rowOff>
    </xdr:from>
    <xdr:to>
      <xdr:col>10</xdr:col>
      <xdr:colOff>275807</xdr:colOff>
      <xdr:row>10</xdr:row>
      <xdr:rowOff>70556</xdr:rowOff>
    </xdr:to>
    <xdr:sp macro="" textlink="">
      <xdr:nvSpPr>
        <xdr:cNvPr id="4" name="Rectangle: Rounded Corners 3">
          <a:extLst>
            <a:ext uri="{FF2B5EF4-FFF2-40B4-BE49-F238E27FC236}">
              <a16:creationId xmlns:a16="http://schemas.microsoft.com/office/drawing/2014/main" id="{738CD2BB-1457-BD19-D024-7A78BBA501C0}"/>
            </a:ext>
          </a:extLst>
        </xdr:cNvPr>
        <xdr:cNvSpPr/>
      </xdr:nvSpPr>
      <xdr:spPr>
        <a:xfrm>
          <a:off x="4425756" y="64141"/>
          <a:ext cx="1943485" cy="1866516"/>
        </a:xfrm>
        <a:prstGeom prst="roundRect">
          <a:avLst>
            <a:gd name="adj" fmla="val 5046"/>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352776</xdr:colOff>
      <xdr:row>0</xdr:row>
      <xdr:rowOff>64141</xdr:rowOff>
    </xdr:from>
    <xdr:to>
      <xdr:col>13</xdr:col>
      <xdr:colOff>468230</xdr:colOff>
      <xdr:row>10</xdr:row>
      <xdr:rowOff>70556</xdr:rowOff>
    </xdr:to>
    <xdr:sp macro="" textlink="">
      <xdr:nvSpPr>
        <xdr:cNvPr id="5" name="Rectangle: Rounded Corners 4">
          <a:extLst>
            <a:ext uri="{FF2B5EF4-FFF2-40B4-BE49-F238E27FC236}">
              <a16:creationId xmlns:a16="http://schemas.microsoft.com/office/drawing/2014/main" id="{965C850D-3052-5757-5E97-3744EF470EC1}"/>
            </a:ext>
          </a:extLst>
        </xdr:cNvPr>
        <xdr:cNvSpPr/>
      </xdr:nvSpPr>
      <xdr:spPr>
        <a:xfrm>
          <a:off x="6446210" y="64141"/>
          <a:ext cx="1943485" cy="1866516"/>
        </a:xfrm>
        <a:prstGeom prst="roundRect">
          <a:avLst>
            <a:gd name="adj" fmla="val 5046"/>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57726</xdr:colOff>
      <xdr:row>4</xdr:row>
      <xdr:rowOff>57727</xdr:rowOff>
    </xdr:from>
    <xdr:to>
      <xdr:col>1</xdr:col>
      <xdr:colOff>179596</xdr:colOff>
      <xdr:row>20</xdr:row>
      <xdr:rowOff>121869</xdr:rowOff>
    </xdr:to>
    <xdr:sp macro="" textlink="">
      <xdr:nvSpPr>
        <xdr:cNvPr id="6" name="Rectangle: Rounded Corners 5">
          <a:extLst>
            <a:ext uri="{FF2B5EF4-FFF2-40B4-BE49-F238E27FC236}">
              <a16:creationId xmlns:a16="http://schemas.microsoft.com/office/drawing/2014/main" id="{3C78B580-FD61-4165-6953-F635524FDE51}"/>
            </a:ext>
          </a:extLst>
        </xdr:cNvPr>
        <xdr:cNvSpPr/>
      </xdr:nvSpPr>
      <xdr:spPr>
        <a:xfrm>
          <a:off x="57726" y="801767"/>
          <a:ext cx="731213" cy="3040304"/>
        </a:xfrm>
        <a:prstGeom prst="roundRect">
          <a:avLst>
            <a:gd name="adj" fmla="val 13447"/>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236615</xdr:colOff>
      <xdr:row>4</xdr:row>
      <xdr:rowOff>57727</xdr:rowOff>
    </xdr:from>
    <xdr:to>
      <xdr:col>3</xdr:col>
      <xdr:colOff>153939</xdr:colOff>
      <xdr:row>7</xdr:row>
      <xdr:rowOff>96212</xdr:rowOff>
    </xdr:to>
    <xdr:sp macro="" textlink="">
      <xdr:nvSpPr>
        <xdr:cNvPr id="7" name="Rectangle: Rounded Corners 6">
          <a:extLst>
            <a:ext uri="{FF2B5EF4-FFF2-40B4-BE49-F238E27FC236}">
              <a16:creationId xmlns:a16="http://schemas.microsoft.com/office/drawing/2014/main" id="{3DE4F20C-C1C2-C85B-A8F2-A538C6A4D4EE}"/>
            </a:ext>
          </a:extLst>
        </xdr:cNvPr>
        <xdr:cNvSpPr/>
      </xdr:nvSpPr>
      <xdr:spPr>
        <a:xfrm>
          <a:off x="845958" y="801767"/>
          <a:ext cx="1136011" cy="596516"/>
        </a:xfrm>
        <a:prstGeom prst="roundRect">
          <a:avLst>
            <a:gd name="adj" fmla="val 13447"/>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214626</xdr:colOff>
      <xdr:row>4</xdr:row>
      <xdr:rowOff>57727</xdr:rowOff>
    </xdr:from>
    <xdr:to>
      <xdr:col>5</xdr:col>
      <xdr:colOff>131950</xdr:colOff>
      <xdr:row>7</xdr:row>
      <xdr:rowOff>96212</xdr:rowOff>
    </xdr:to>
    <xdr:sp macro="" textlink="">
      <xdr:nvSpPr>
        <xdr:cNvPr id="8" name="Rectangle: Rounded Corners 7">
          <a:extLst>
            <a:ext uri="{FF2B5EF4-FFF2-40B4-BE49-F238E27FC236}">
              <a16:creationId xmlns:a16="http://schemas.microsoft.com/office/drawing/2014/main" id="{A35F6ACF-E194-B7C0-CE32-BEF33019A0A2}"/>
            </a:ext>
          </a:extLst>
        </xdr:cNvPr>
        <xdr:cNvSpPr/>
      </xdr:nvSpPr>
      <xdr:spPr>
        <a:xfrm>
          <a:off x="2042656" y="801767"/>
          <a:ext cx="1136011" cy="596516"/>
        </a:xfrm>
        <a:prstGeom prst="roundRect">
          <a:avLst>
            <a:gd name="adj" fmla="val 13447"/>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192424</xdr:colOff>
      <xdr:row>4</xdr:row>
      <xdr:rowOff>57727</xdr:rowOff>
    </xdr:from>
    <xdr:to>
      <xdr:col>7</xdr:col>
      <xdr:colOff>109748</xdr:colOff>
      <xdr:row>7</xdr:row>
      <xdr:rowOff>96212</xdr:rowOff>
    </xdr:to>
    <xdr:sp macro="" textlink="">
      <xdr:nvSpPr>
        <xdr:cNvPr id="9" name="Rectangle: Rounded Corners 8">
          <a:extLst>
            <a:ext uri="{FF2B5EF4-FFF2-40B4-BE49-F238E27FC236}">
              <a16:creationId xmlns:a16="http://schemas.microsoft.com/office/drawing/2014/main" id="{5AAF0F7F-1BC2-6A4B-806F-34C5477A982F}"/>
            </a:ext>
          </a:extLst>
        </xdr:cNvPr>
        <xdr:cNvSpPr/>
      </xdr:nvSpPr>
      <xdr:spPr>
        <a:xfrm>
          <a:off x="3239141" y="801767"/>
          <a:ext cx="1136011" cy="596516"/>
        </a:xfrm>
        <a:prstGeom prst="roundRect">
          <a:avLst>
            <a:gd name="adj" fmla="val 13447"/>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237321</xdr:colOff>
      <xdr:row>11</xdr:row>
      <xdr:rowOff>89798</xdr:rowOff>
    </xdr:from>
    <xdr:to>
      <xdr:col>7</xdr:col>
      <xdr:colOff>115455</xdr:colOff>
      <xdr:row>20</xdr:row>
      <xdr:rowOff>121870</xdr:rowOff>
    </xdr:to>
    <xdr:sp macro="" textlink="">
      <xdr:nvSpPr>
        <xdr:cNvPr id="12" name="Rectangle: Rounded Corners 11">
          <a:extLst>
            <a:ext uri="{FF2B5EF4-FFF2-40B4-BE49-F238E27FC236}">
              <a16:creationId xmlns:a16="http://schemas.microsoft.com/office/drawing/2014/main" id="{4DB35B2F-4F11-98A5-A4E0-6F43F770E2F4}"/>
            </a:ext>
          </a:extLst>
        </xdr:cNvPr>
        <xdr:cNvSpPr/>
      </xdr:nvSpPr>
      <xdr:spPr>
        <a:xfrm>
          <a:off x="846664" y="2135909"/>
          <a:ext cx="3534195" cy="1706163"/>
        </a:xfrm>
        <a:prstGeom prst="roundRect">
          <a:avLst>
            <a:gd name="adj" fmla="val 5369"/>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173179</xdr:colOff>
      <xdr:row>10</xdr:row>
      <xdr:rowOff>121869</xdr:rowOff>
    </xdr:from>
    <xdr:to>
      <xdr:col>13</xdr:col>
      <xdr:colOff>487474</xdr:colOff>
      <xdr:row>20</xdr:row>
      <xdr:rowOff>121869</xdr:rowOff>
    </xdr:to>
    <xdr:sp macro="" textlink="">
      <xdr:nvSpPr>
        <xdr:cNvPr id="13" name="Rectangle: Rounded Corners 12">
          <a:extLst>
            <a:ext uri="{FF2B5EF4-FFF2-40B4-BE49-F238E27FC236}">
              <a16:creationId xmlns:a16="http://schemas.microsoft.com/office/drawing/2014/main" id="{41A8A241-D24C-1942-C3AB-3AA4C4C99063}"/>
            </a:ext>
          </a:extLst>
        </xdr:cNvPr>
        <xdr:cNvSpPr/>
      </xdr:nvSpPr>
      <xdr:spPr>
        <a:xfrm>
          <a:off x="4438583" y="1981970"/>
          <a:ext cx="3970356" cy="1860101"/>
        </a:xfrm>
        <a:prstGeom prst="roundRect">
          <a:avLst>
            <a:gd name="adj" fmla="val 3667"/>
          </a:avLst>
        </a:prstGeom>
        <a:solidFill>
          <a:schemeClr val="bg1"/>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1</xdr:col>
      <xdr:colOff>333536</xdr:colOff>
      <xdr:row>0</xdr:row>
      <xdr:rowOff>109040</xdr:rowOff>
    </xdr:from>
    <xdr:to>
      <xdr:col>4</xdr:col>
      <xdr:colOff>596515</xdr:colOff>
      <xdr:row>3</xdr:row>
      <xdr:rowOff>141111</xdr:rowOff>
    </xdr:to>
    <xdr:sp macro="" textlink="">
      <xdr:nvSpPr>
        <xdr:cNvPr id="14" name="TextBox 13">
          <a:extLst>
            <a:ext uri="{FF2B5EF4-FFF2-40B4-BE49-F238E27FC236}">
              <a16:creationId xmlns:a16="http://schemas.microsoft.com/office/drawing/2014/main" id="{CB98EF38-E653-1078-9B27-B3C40EBAD116}"/>
            </a:ext>
          </a:extLst>
        </xdr:cNvPr>
        <xdr:cNvSpPr txBox="1"/>
      </xdr:nvSpPr>
      <xdr:spPr>
        <a:xfrm>
          <a:off x="942879" y="109040"/>
          <a:ext cx="2091010" cy="59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a:latin typeface="Arial" panose="020B0604020202020204" pitchFamily="34" charset="0"/>
              <a:cs typeface="Arial" panose="020B0604020202020204" pitchFamily="34" charset="0"/>
            </a:rPr>
            <a:t>Hospital Emergency Room Dashboard</a:t>
          </a:r>
        </a:p>
      </xdr:txBody>
    </xdr:sp>
    <xdr:clientData/>
  </xdr:twoCellAnchor>
  <xdr:twoCellAnchor editAs="oneCell">
    <xdr:from>
      <xdr:col>0</xdr:col>
      <xdr:colOff>64142</xdr:colOff>
      <xdr:row>0</xdr:row>
      <xdr:rowOff>57727</xdr:rowOff>
    </xdr:from>
    <xdr:to>
      <xdr:col>1</xdr:col>
      <xdr:colOff>365607</xdr:colOff>
      <xdr:row>3</xdr:row>
      <xdr:rowOff>174951</xdr:rowOff>
    </xdr:to>
    <xdr:pic>
      <xdr:nvPicPr>
        <xdr:cNvPr id="16" name="Picture 15">
          <a:extLst>
            <a:ext uri="{FF2B5EF4-FFF2-40B4-BE49-F238E27FC236}">
              <a16:creationId xmlns:a16="http://schemas.microsoft.com/office/drawing/2014/main" id="{35E697CF-7E2E-2BB6-F326-A49F7DC122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000" t="9174" r="21000" b="11926"/>
        <a:stretch>
          <a:fillRect/>
        </a:stretch>
      </xdr:blipFill>
      <xdr:spPr>
        <a:xfrm>
          <a:off x="64142" y="57727"/>
          <a:ext cx="910808" cy="675254"/>
        </a:xfrm>
        <a:prstGeom prst="rect">
          <a:avLst/>
        </a:prstGeom>
      </xdr:spPr>
    </xdr:pic>
    <xdr:clientData/>
  </xdr:twoCellAnchor>
  <xdr:twoCellAnchor editAs="absolute">
    <xdr:from>
      <xdr:col>1</xdr:col>
      <xdr:colOff>224496</xdr:colOff>
      <xdr:row>5</xdr:row>
      <xdr:rowOff>166766</xdr:rowOff>
    </xdr:from>
    <xdr:to>
      <xdr:col>3</xdr:col>
      <xdr:colOff>141112</xdr:colOff>
      <xdr:row>7</xdr:row>
      <xdr:rowOff>51313</xdr:rowOff>
    </xdr:to>
    <xdr:sp macro="" textlink="">
      <xdr:nvSpPr>
        <xdr:cNvPr id="17" name="TextBox 16">
          <a:extLst>
            <a:ext uri="{FF2B5EF4-FFF2-40B4-BE49-F238E27FC236}">
              <a16:creationId xmlns:a16="http://schemas.microsoft.com/office/drawing/2014/main" id="{CDB80B13-BA9E-5B34-0FB6-7B1AEAEF4B68}"/>
            </a:ext>
          </a:extLst>
        </xdr:cNvPr>
        <xdr:cNvSpPr txBox="1"/>
      </xdr:nvSpPr>
      <xdr:spPr>
        <a:xfrm>
          <a:off x="833839" y="1096817"/>
          <a:ext cx="1135303"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rial" panose="020B0604020202020204" pitchFamily="34" charset="0"/>
              <a:cs typeface="Arial" panose="020B0604020202020204" pitchFamily="34" charset="0"/>
            </a:rPr>
            <a:t>Monthly Report</a:t>
          </a:r>
        </a:p>
      </xdr:txBody>
    </xdr:sp>
    <xdr:clientData/>
  </xdr:twoCellAnchor>
  <xdr:twoCellAnchor editAs="absolute">
    <xdr:from>
      <xdr:col>1</xdr:col>
      <xdr:colOff>224496</xdr:colOff>
      <xdr:row>4</xdr:row>
      <xdr:rowOff>115454</xdr:rowOff>
    </xdr:from>
    <xdr:to>
      <xdr:col>3</xdr:col>
      <xdr:colOff>141112</xdr:colOff>
      <xdr:row>6</xdr:row>
      <xdr:rowOff>0</xdr:rowOff>
    </xdr:to>
    <xdr:sp macro="" textlink="'Calender Table'!A4">
      <xdr:nvSpPr>
        <xdr:cNvPr id="18" name="TextBox 17">
          <a:extLst>
            <a:ext uri="{FF2B5EF4-FFF2-40B4-BE49-F238E27FC236}">
              <a16:creationId xmlns:a16="http://schemas.microsoft.com/office/drawing/2014/main" id="{AD88DFC1-87DA-AD0B-05BE-50F23DAE6BD4}"/>
            </a:ext>
          </a:extLst>
        </xdr:cNvPr>
        <xdr:cNvSpPr txBox="1"/>
      </xdr:nvSpPr>
      <xdr:spPr>
        <a:xfrm>
          <a:off x="833839" y="859494"/>
          <a:ext cx="1135303"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608FB08-7197-4B70-9DA8-BE8962BCBD58}" type="TxLink">
            <a:rPr lang="en-US" sz="1600" b="0" i="0" u="none" strike="noStrike">
              <a:solidFill>
                <a:srgbClr val="000000"/>
              </a:solidFill>
              <a:latin typeface="Calibri"/>
              <a:ea typeface="Calibri"/>
              <a:cs typeface="Calibri"/>
            </a:rPr>
            <a:pPr algn="ctr"/>
            <a:t>480</a:t>
          </a:fld>
          <a:endParaRPr lang="en-IN" sz="1600">
            <a:latin typeface="Arial" panose="020B0604020202020204" pitchFamily="34" charset="0"/>
            <a:cs typeface="Arial" panose="020B0604020202020204" pitchFamily="34" charset="0"/>
          </a:endParaRPr>
        </a:p>
      </xdr:txBody>
    </xdr:sp>
    <xdr:clientData/>
  </xdr:twoCellAnchor>
  <xdr:twoCellAnchor editAs="absolute">
    <xdr:from>
      <xdr:col>3</xdr:col>
      <xdr:colOff>224496</xdr:colOff>
      <xdr:row>5</xdr:row>
      <xdr:rowOff>160352</xdr:rowOff>
    </xdr:from>
    <xdr:to>
      <xdr:col>5</xdr:col>
      <xdr:colOff>141112</xdr:colOff>
      <xdr:row>7</xdr:row>
      <xdr:rowOff>44899</xdr:rowOff>
    </xdr:to>
    <xdr:sp macro="" textlink="">
      <xdr:nvSpPr>
        <xdr:cNvPr id="20" name="TextBox 19">
          <a:extLst>
            <a:ext uri="{FF2B5EF4-FFF2-40B4-BE49-F238E27FC236}">
              <a16:creationId xmlns:a16="http://schemas.microsoft.com/office/drawing/2014/main" id="{2EB59A9E-BD26-2358-FBCE-2DE9C3C5C796}"/>
            </a:ext>
          </a:extLst>
        </xdr:cNvPr>
        <xdr:cNvSpPr txBox="1"/>
      </xdr:nvSpPr>
      <xdr:spPr>
        <a:xfrm>
          <a:off x="2052526" y="1090403"/>
          <a:ext cx="1135303"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rial" panose="020B0604020202020204" pitchFamily="34" charset="0"/>
              <a:cs typeface="Arial" panose="020B0604020202020204" pitchFamily="34" charset="0"/>
            </a:rPr>
            <a:t>Avg. Wait Time</a:t>
          </a:r>
        </a:p>
      </xdr:txBody>
    </xdr:sp>
    <xdr:clientData/>
  </xdr:twoCellAnchor>
  <xdr:twoCellAnchor editAs="absolute">
    <xdr:from>
      <xdr:col>3</xdr:col>
      <xdr:colOff>224496</xdr:colOff>
      <xdr:row>4</xdr:row>
      <xdr:rowOff>109040</xdr:rowOff>
    </xdr:from>
    <xdr:to>
      <xdr:col>5</xdr:col>
      <xdr:colOff>141112</xdr:colOff>
      <xdr:row>5</xdr:row>
      <xdr:rowOff>179596</xdr:rowOff>
    </xdr:to>
    <xdr:sp macro="" textlink="'Calender Table'!A9">
      <xdr:nvSpPr>
        <xdr:cNvPr id="21" name="TextBox 20">
          <a:extLst>
            <a:ext uri="{FF2B5EF4-FFF2-40B4-BE49-F238E27FC236}">
              <a16:creationId xmlns:a16="http://schemas.microsoft.com/office/drawing/2014/main" id="{EA235040-9E34-4F84-38C8-18E3DA694D44}"/>
            </a:ext>
          </a:extLst>
        </xdr:cNvPr>
        <xdr:cNvSpPr txBox="1"/>
      </xdr:nvSpPr>
      <xdr:spPr>
        <a:xfrm>
          <a:off x="2052526" y="853080"/>
          <a:ext cx="1135303"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BC67065-9925-4036-BD74-1A23F44CC43E}" type="TxLink">
            <a:rPr lang="en-US" sz="1600" b="0" i="0" u="none" strike="noStrike">
              <a:solidFill>
                <a:srgbClr val="000000"/>
              </a:solidFill>
              <a:latin typeface="Calibri"/>
              <a:ea typeface="Calibri"/>
              <a:cs typeface="Calibri"/>
            </a:rPr>
            <a:pPr algn="ctr"/>
            <a:t>34.43</a:t>
          </a:fld>
          <a:endParaRPr lang="en-IN" sz="2400">
            <a:latin typeface="Arial" panose="020B0604020202020204" pitchFamily="34" charset="0"/>
            <a:cs typeface="Arial" panose="020B0604020202020204" pitchFamily="34" charset="0"/>
          </a:endParaRPr>
        </a:p>
      </xdr:txBody>
    </xdr:sp>
    <xdr:clientData/>
  </xdr:twoCellAnchor>
  <xdr:twoCellAnchor editAs="absolute">
    <xdr:from>
      <xdr:col>5</xdr:col>
      <xdr:colOff>192424</xdr:colOff>
      <xdr:row>5</xdr:row>
      <xdr:rowOff>153938</xdr:rowOff>
    </xdr:from>
    <xdr:to>
      <xdr:col>7</xdr:col>
      <xdr:colOff>102626</xdr:colOff>
      <xdr:row>7</xdr:row>
      <xdr:rowOff>38485</xdr:rowOff>
    </xdr:to>
    <xdr:sp macro="" textlink="">
      <xdr:nvSpPr>
        <xdr:cNvPr id="23" name="TextBox 22">
          <a:extLst>
            <a:ext uri="{FF2B5EF4-FFF2-40B4-BE49-F238E27FC236}">
              <a16:creationId xmlns:a16="http://schemas.microsoft.com/office/drawing/2014/main" id="{360B17A0-6E3A-D51E-F2C0-912FE942EBAF}"/>
            </a:ext>
          </a:extLst>
        </xdr:cNvPr>
        <xdr:cNvSpPr txBox="1"/>
      </xdr:nvSpPr>
      <xdr:spPr>
        <a:xfrm>
          <a:off x="3239141" y="1083989"/>
          <a:ext cx="1128889"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rial" panose="020B0604020202020204" pitchFamily="34" charset="0"/>
              <a:cs typeface="Arial" panose="020B0604020202020204" pitchFamily="34" charset="0"/>
            </a:rPr>
            <a:t>Satisfaction</a:t>
          </a:r>
          <a:r>
            <a:rPr lang="en-IN" sz="1050" b="1">
              <a:latin typeface="Arial" panose="020B0604020202020204" pitchFamily="34" charset="0"/>
              <a:cs typeface="Arial" panose="020B0604020202020204" pitchFamily="34" charset="0"/>
            </a:rPr>
            <a:t> Score</a:t>
          </a:r>
        </a:p>
      </xdr:txBody>
    </xdr:sp>
    <xdr:clientData/>
  </xdr:twoCellAnchor>
  <xdr:twoCellAnchor editAs="absolute">
    <xdr:from>
      <xdr:col>5</xdr:col>
      <xdr:colOff>224496</xdr:colOff>
      <xdr:row>4</xdr:row>
      <xdr:rowOff>102626</xdr:rowOff>
    </xdr:from>
    <xdr:to>
      <xdr:col>7</xdr:col>
      <xdr:colOff>141112</xdr:colOff>
      <xdr:row>5</xdr:row>
      <xdr:rowOff>173182</xdr:rowOff>
    </xdr:to>
    <xdr:sp macro="" textlink="'Calender Table'!A14">
      <xdr:nvSpPr>
        <xdr:cNvPr id="24" name="TextBox 23">
          <a:extLst>
            <a:ext uri="{FF2B5EF4-FFF2-40B4-BE49-F238E27FC236}">
              <a16:creationId xmlns:a16="http://schemas.microsoft.com/office/drawing/2014/main" id="{C2DDAAFD-D072-BC42-37CA-E721D6947F63}"/>
            </a:ext>
          </a:extLst>
        </xdr:cNvPr>
        <xdr:cNvSpPr txBox="1"/>
      </xdr:nvSpPr>
      <xdr:spPr>
        <a:xfrm>
          <a:off x="3271213" y="846666"/>
          <a:ext cx="1135303"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C2B09DF-33E2-4E06-8CD9-44491CA864EC}" type="TxLink">
            <a:rPr lang="en-US" sz="1600" b="0" i="0" u="none" strike="noStrike">
              <a:solidFill>
                <a:srgbClr val="000000"/>
              </a:solidFill>
              <a:latin typeface="Calibri"/>
              <a:ea typeface="Calibri"/>
              <a:cs typeface="Calibri"/>
            </a:rPr>
            <a:pPr algn="ctr"/>
            <a:t>5.16</a:t>
          </a:fld>
          <a:endParaRPr lang="en-IN" sz="2400">
            <a:latin typeface="Arial" panose="020B0604020202020204" pitchFamily="34" charset="0"/>
            <a:cs typeface="Arial" panose="020B0604020202020204" pitchFamily="34" charset="0"/>
          </a:endParaRPr>
        </a:p>
      </xdr:txBody>
    </xdr:sp>
    <xdr:clientData/>
  </xdr:twoCellAnchor>
  <xdr:twoCellAnchor editAs="oneCell">
    <xdr:from>
      <xdr:col>1</xdr:col>
      <xdr:colOff>314293</xdr:colOff>
      <xdr:row>4</xdr:row>
      <xdr:rowOff>134697</xdr:rowOff>
    </xdr:from>
    <xdr:to>
      <xdr:col>1</xdr:col>
      <xdr:colOff>564445</xdr:colOff>
      <xdr:row>6</xdr:row>
      <xdr:rowOff>12828</xdr:rowOff>
    </xdr:to>
    <xdr:pic>
      <xdr:nvPicPr>
        <xdr:cNvPr id="26" name="Graphic 25" descr="Wheelchair Access">
          <a:extLst>
            <a:ext uri="{FF2B5EF4-FFF2-40B4-BE49-F238E27FC236}">
              <a16:creationId xmlns:a16="http://schemas.microsoft.com/office/drawing/2014/main" id="{6660A39A-FBCE-76AD-6B45-1540D4AE4C9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23636" y="878737"/>
          <a:ext cx="250152" cy="250152"/>
        </a:xfrm>
        <a:prstGeom prst="rect">
          <a:avLst/>
        </a:prstGeom>
      </xdr:spPr>
    </xdr:pic>
    <xdr:clientData/>
  </xdr:twoCellAnchor>
  <xdr:twoCellAnchor editAs="oneCell">
    <xdr:from>
      <xdr:col>3</xdr:col>
      <xdr:colOff>327121</xdr:colOff>
      <xdr:row>4</xdr:row>
      <xdr:rowOff>127936</xdr:rowOff>
    </xdr:from>
    <xdr:to>
      <xdr:col>3</xdr:col>
      <xdr:colOff>551616</xdr:colOff>
      <xdr:row>5</xdr:row>
      <xdr:rowOff>166420</xdr:rowOff>
    </xdr:to>
    <xdr:pic>
      <xdr:nvPicPr>
        <xdr:cNvPr id="28" name="Graphic 27" descr="Hourglass">
          <a:extLst>
            <a:ext uri="{FF2B5EF4-FFF2-40B4-BE49-F238E27FC236}">
              <a16:creationId xmlns:a16="http://schemas.microsoft.com/office/drawing/2014/main" id="{E16B7286-301A-7A87-EF6C-AD17B85DDD3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55151" y="871976"/>
          <a:ext cx="224495" cy="224495"/>
        </a:xfrm>
        <a:prstGeom prst="rect">
          <a:avLst/>
        </a:prstGeom>
      </xdr:spPr>
    </xdr:pic>
    <xdr:clientData/>
  </xdr:twoCellAnchor>
  <xdr:twoCellAnchor editAs="oneCell">
    <xdr:from>
      <xdr:col>5</xdr:col>
      <xdr:colOff>284349</xdr:colOff>
      <xdr:row>4</xdr:row>
      <xdr:rowOff>136824</xdr:rowOff>
    </xdr:from>
    <xdr:to>
      <xdr:col>5</xdr:col>
      <xdr:colOff>519545</xdr:colOff>
      <xdr:row>5</xdr:row>
      <xdr:rowOff>186009</xdr:rowOff>
    </xdr:to>
    <xdr:pic>
      <xdr:nvPicPr>
        <xdr:cNvPr id="30" name="Graphic 29" descr="Customer review">
          <a:extLst>
            <a:ext uri="{FF2B5EF4-FFF2-40B4-BE49-F238E27FC236}">
              <a16:creationId xmlns:a16="http://schemas.microsoft.com/office/drawing/2014/main" id="{9B069575-F410-0B24-067E-B6D7EBAA860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1066" y="880864"/>
          <a:ext cx="235196" cy="235196"/>
        </a:xfrm>
        <a:prstGeom prst="rect">
          <a:avLst/>
        </a:prstGeom>
      </xdr:spPr>
    </xdr:pic>
    <xdr:clientData/>
  </xdr:twoCellAnchor>
  <xdr:twoCellAnchor editAs="oneCell">
    <xdr:from>
      <xdr:col>0</xdr:col>
      <xdr:colOff>96212</xdr:colOff>
      <xdr:row>4</xdr:row>
      <xdr:rowOff>102628</xdr:rowOff>
    </xdr:from>
    <xdr:to>
      <xdr:col>1</xdr:col>
      <xdr:colOff>134869</xdr:colOff>
      <xdr:row>20</xdr:row>
      <xdr:rowOff>42466</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366CF041-A1D1-4E45-8C1D-A9F1F12D55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212" y="846668"/>
              <a:ext cx="648000" cy="29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237324</xdr:colOff>
          <xdr:row>7</xdr:row>
          <xdr:rowOff>153939</xdr:rowOff>
        </xdr:from>
        <xdr:to>
          <xdr:col>7</xdr:col>
          <xdr:colOff>109040</xdr:colOff>
          <xdr:row>11</xdr:row>
          <xdr:rowOff>32071</xdr:rowOff>
        </xdr:to>
        <xdr:pic>
          <xdr:nvPicPr>
            <xdr:cNvPr id="38" name="Picture 37">
              <a:extLst>
                <a:ext uri="{FF2B5EF4-FFF2-40B4-BE49-F238E27FC236}">
                  <a16:creationId xmlns:a16="http://schemas.microsoft.com/office/drawing/2014/main" id="{113B1558-8798-DAA5-9B32-57EB76C02E25}"/>
                </a:ext>
              </a:extLst>
            </xdr:cNvPr>
            <xdr:cNvPicPr>
              <a:picLocks noChangeAspect="1" noChangeArrowheads="1"/>
              <a:extLst>
                <a:ext uri="{84589F7E-364E-4C9E-8A38-B11213B215E9}">
                  <a14:cameraTool cellRange="'Calender Table'!$A$46:$D$48" spid="_x0000_s3088"/>
                </a:ext>
              </a:extLst>
            </xdr:cNvPicPr>
          </xdr:nvPicPr>
          <xdr:blipFill rotWithShape="1">
            <a:blip xmlns:r="http://schemas.openxmlformats.org/officeDocument/2006/relationships" r:embed="rId8"/>
            <a:srcRect l="1275" t="2062" r="1638"/>
            <a:stretch>
              <a:fillRect/>
            </a:stretch>
          </xdr:blipFill>
          <xdr:spPr bwMode="auto">
            <a:xfrm>
              <a:off x="846667" y="1456010"/>
              <a:ext cx="3527777" cy="6221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262980</xdr:colOff>
      <xdr:row>13</xdr:row>
      <xdr:rowOff>12829</xdr:rowOff>
    </xdr:from>
    <xdr:to>
      <xdr:col>7</xdr:col>
      <xdr:colOff>96212</xdr:colOff>
      <xdr:row>20</xdr:row>
      <xdr:rowOff>57727</xdr:rowOff>
    </xdr:to>
    <xdr:graphicFrame macro="">
      <xdr:nvGraphicFramePr>
        <xdr:cNvPr id="39" name="Chart 38">
          <a:extLst>
            <a:ext uri="{FF2B5EF4-FFF2-40B4-BE49-F238E27FC236}">
              <a16:creationId xmlns:a16="http://schemas.microsoft.com/office/drawing/2014/main" id="{3FC81E0E-CC96-43DC-82C0-2E335348F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378436</xdr:colOff>
      <xdr:row>11</xdr:row>
      <xdr:rowOff>102625</xdr:rowOff>
    </xdr:from>
    <xdr:to>
      <xdr:col>6</xdr:col>
      <xdr:colOff>596516</xdr:colOff>
      <xdr:row>12</xdr:row>
      <xdr:rowOff>173182</xdr:rowOff>
    </xdr:to>
    <xdr:sp macro="" textlink="">
      <xdr:nvSpPr>
        <xdr:cNvPr id="40" name="TextBox 39">
          <a:extLst>
            <a:ext uri="{FF2B5EF4-FFF2-40B4-BE49-F238E27FC236}">
              <a16:creationId xmlns:a16="http://schemas.microsoft.com/office/drawing/2014/main" id="{FA728E25-B7C5-CCAA-6091-50B136410978}"/>
            </a:ext>
          </a:extLst>
        </xdr:cNvPr>
        <xdr:cNvSpPr txBox="1"/>
      </xdr:nvSpPr>
      <xdr:spPr>
        <a:xfrm>
          <a:off x="987779" y="2148736"/>
          <a:ext cx="3264798"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panose="020B0604020202020204" pitchFamily="34" charset="0"/>
              <a:cs typeface="Arial" panose="020B0604020202020204" pitchFamily="34" charset="0"/>
            </a:rPr>
            <a:t>No. of Patients</a:t>
          </a:r>
          <a:r>
            <a:rPr lang="en-IN" sz="1200" b="1" baseline="0">
              <a:latin typeface="Arial" panose="020B0604020202020204" pitchFamily="34" charset="0"/>
              <a:cs typeface="Arial" panose="020B0604020202020204" pitchFamily="34" charset="0"/>
            </a:rPr>
            <a:t> by Age Group</a:t>
          </a:r>
          <a:endParaRPr lang="en-IN" sz="1200" b="1">
            <a:latin typeface="Arial" panose="020B0604020202020204" pitchFamily="34" charset="0"/>
            <a:cs typeface="Arial" panose="020B0604020202020204" pitchFamily="34" charset="0"/>
          </a:endParaRPr>
        </a:p>
      </xdr:txBody>
    </xdr:sp>
    <xdr:clientData/>
  </xdr:twoCellAnchor>
  <xdr:twoCellAnchor editAs="absolute">
    <xdr:from>
      <xdr:col>7</xdr:col>
      <xdr:colOff>192424</xdr:colOff>
      <xdr:row>0</xdr:row>
      <xdr:rowOff>102626</xdr:rowOff>
    </xdr:from>
    <xdr:to>
      <xdr:col>10</xdr:col>
      <xdr:colOff>224495</xdr:colOff>
      <xdr:row>10</xdr:row>
      <xdr:rowOff>19242</xdr:rowOff>
    </xdr:to>
    <xdr:graphicFrame macro="">
      <xdr:nvGraphicFramePr>
        <xdr:cNvPr id="41" name="Chart 40">
          <a:extLst>
            <a:ext uri="{FF2B5EF4-FFF2-40B4-BE49-F238E27FC236}">
              <a16:creationId xmlns:a16="http://schemas.microsoft.com/office/drawing/2014/main" id="{0C675849-9B54-43CC-9E10-19B91B888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7</xdr:col>
      <xdr:colOff>250152</xdr:colOff>
      <xdr:row>0</xdr:row>
      <xdr:rowOff>102625</xdr:rowOff>
    </xdr:from>
    <xdr:to>
      <xdr:col>10</xdr:col>
      <xdr:colOff>186010</xdr:colOff>
      <xdr:row>1</xdr:row>
      <xdr:rowOff>173182</xdr:rowOff>
    </xdr:to>
    <xdr:sp macro="" textlink="">
      <xdr:nvSpPr>
        <xdr:cNvPr id="42" name="TextBox 41">
          <a:extLst>
            <a:ext uri="{FF2B5EF4-FFF2-40B4-BE49-F238E27FC236}">
              <a16:creationId xmlns:a16="http://schemas.microsoft.com/office/drawing/2014/main" id="{1D58527D-487D-E590-4EDF-2EA11286BEB8}"/>
            </a:ext>
          </a:extLst>
        </xdr:cNvPr>
        <xdr:cNvSpPr txBox="1"/>
      </xdr:nvSpPr>
      <xdr:spPr>
        <a:xfrm>
          <a:off x="4515556" y="102625"/>
          <a:ext cx="1763888"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panose="020B0604020202020204" pitchFamily="34" charset="0"/>
              <a:cs typeface="Arial" panose="020B0604020202020204" pitchFamily="34" charset="0"/>
            </a:rPr>
            <a:t>Patient</a:t>
          </a:r>
          <a:r>
            <a:rPr lang="en-IN" sz="1200" b="1" baseline="0">
              <a:latin typeface="Arial" panose="020B0604020202020204" pitchFamily="34" charset="0"/>
              <a:cs typeface="Arial" panose="020B0604020202020204" pitchFamily="34" charset="0"/>
            </a:rPr>
            <a:t> Attend Status</a:t>
          </a:r>
          <a:endParaRPr lang="en-IN" sz="1200" b="1">
            <a:latin typeface="Arial" panose="020B0604020202020204" pitchFamily="34" charset="0"/>
            <a:cs typeface="Arial" panose="020B0604020202020204" pitchFamily="34" charset="0"/>
          </a:endParaRPr>
        </a:p>
      </xdr:txBody>
    </xdr:sp>
    <xdr:clientData/>
  </xdr:twoCellAnchor>
  <xdr:twoCellAnchor editAs="absolute">
    <xdr:from>
      <xdr:col>10</xdr:col>
      <xdr:colOff>384849</xdr:colOff>
      <xdr:row>0</xdr:row>
      <xdr:rowOff>109040</xdr:rowOff>
    </xdr:from>
    <xdr:to>
      <xdr:col>13</xdr:col>
      <xdr:colOff>423333</xdr:colOff>
      <xdr:row>10</xdr:row>
      <xdr:rowOff>25656</xdr:rowOff>
    </xdr:to>
    <xdr:graphicFrame macro="">
      <xdr:nvGraphicFramePr>
        <xdr:cNvPr id="43" name="Chart 42">
          <a:extLst>
            <a:ext uri="{FF2B5EF4-FFF2-40B4-BE49-F238E27FC236}">
              <a16:creationId xmlns:a16="http://schemas.microsoft.com/office/drawing/2014/main" id="{CE14392D-AAA1-463C-9DDC-1CBD26A77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10</xdr:col>
      <xdr:colOff>442576</xdr:colOff>
      <xdr:row>0</xdr:row>
      <xdr:rowOff>102625</xdr:rowOff>
    </xdr:from>
    <xdr:to>
      <xdr:col>13</xdr:col>
      <xdr:colOff>378433</xdr:colOff>
      <xdr:row>1</xdr:row>
      <xdr:rowOff>173182</xdr:rowOff>
    </xdr:to>
    <xdr:sp macro="" textlink="">
      <xdr:nvSpPr>
        <xdr:cNvPr id="44" name="TextBox 43">
          <a:extLst>
            <a:ext uri="{FF2B5EF4-FFF2-40B4-BE49-F238E27FC236}">
              <a16:creationId xmlns:a16="http://schemas.microsoft.com/office/drawing/2014/main" id="{A66886A0-1F3E-37D6-E735-0D0F5774A768}"/>
            </a:ext>
          </a:extLst>
        </xdr:cNvPr>
        <xdr:cNvSpPr txBox="1"/>
      </xdr:nvSpPr>
      <xdr:spPr>
        <a:xfrm>
          <a:off x="6536010" y="102625"/>
          <a:ext cx="1763888"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panose="020B0604020202020204" pitchFamily="34" charset="0"/>
              <a:cs typeface="Arial" panose="020B0604020202020204" pitchFamily="34" charset="0"/>
            </a:rPr>
            <a:t>Gender Wise</a:t>
          </a:r>
          <a:r>
            <a:rPr lang="en-IN" sz="1200" b="1" baseline="0">
              <a:latin typeface="Arial" panose="020B0604020202020204" pitchFamily="34" charset="0"/>
              <a:cs typeface="Arial" panose="020B0604020202020204" pitchFamily="34" charset="0"/>
            </a:rPr>
            <a:t> Analysis</a:t>
          </a:r>
          <a:endParaRPr lang="en-IN" sz="1200" b="1">
            <a:latin typeface="Arial" panose="020B0604020202020204" pitchFamily="34" charset="0"/>
            <a:cs typeface="Arial" panose="020B0604020202020204" pitchFamily="34" charset="0"/>
          </a:endParaRPr>
        </a:p>
      </xdr:txBody>
    </xdr:sp>
    <xdr:clientData/>
  </xdr:twoCellAnchor>
  <xdr:twoCellAnchor>
    <xdr:from>
      <xdr:col>7</xdr:col>
      <xdr:colOff>211667</xdr:colOff>
      <xdr:row>12</xdr:row>
      <xdr:rowOff>6414</xdr:rowOff>
    </xdr:from>
    <xdr:to>
      <xdr:col>13</xdr:col>
      <xdr:colOff>455404</xdr:colOff>
      <xdr:row>20</xdr:row>
      <xdr:rowOff>94159</xdr:rowOff>
    </xdr:to>
    <xdr:graphicFrame macro="">
      <xdr:nvGraphicFramePr>
        <xdr:cNvPr id="45" name="Chart 44">
          <a:extLst>
            <a:ext uri="{FF2B5EF4-FFF2-40B4-BE49-F238E27FC236}">
              <a16:creationId xmlns:a16="http://schemas.microsoft.com/office/drawing/2014/main" id="{695083D4-B064-4F50-B421-B198C0303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301465</xdr:colOff>
      <xdr:row>10</xdr:row>
      <xdr:rowOff>128281</xdr:rowOff>
    </xdr:from>
    <xdr:to>
      <xdr:col>13</xdr:col>
      <xdr:colOff>359192</xdr:colOff>
      <xdr:row>12</xdr:row>
      <xdr:rowOff>12828</xdr:rowOff>
    </xdr:to>
    <xdr:sp macro="" textlink="">
      <xdr:nvSpPr>
        <xdr:cNvPr id="46" name="TextBox 45">
          <a:extLst>
            <a:ext uri="{FF2B5EF4-FFF2-40B4-BE49-F238E27FC236}">
              <a16:creationId xmlns:a16="http://schemas.microsoft.com/office/drawing/2014/main" id="{AF308ED9-FFC4-4D44-D5A0-9A12DEC7BBAA}"/>
            </a:ext>
          </a:extLst>
        </xdr:cNvPr>
        <xdr:cNvSpPr txBox="1"/>
      </xdr:nvSpPr>
      <xdr:spPr>
        <a:xfrm>
          <a:off x="4566869" y="1988382"/>
          <a:ext cx="3713788" cy="25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panose="020B0604020202020204" pitchFamily="34" charset="0"/>
              <a:cs typeface="Arial" panose="020B0604020202020204" pitchFamily="34" charset="0"/>
            </a:rPr>
            <a:t>No. of Patient by Department Referral</a:t>
          </a:r>
        </a:p>
      </xdr:txBody>
    </xdr:sp>
    <xdr:clientData/>
  </xdr:twoCellAnchor>
  <xdr:twoCellAnchor editAs="oneCell">
    <xdr:from>
      <xdr:col>5</xdr:col>
      <xdr:colOff>224495</xdr:colOff>
      <xdr:row>0</xdr:row>
      <xdr:rowOff>76970</xdr:rowOff>
    </xdr:from>
    <xdr:to>
      <xdr:col>7</xdr:col>
      <xdr:colOff>54050</xdr:colOff>
      <xdr:row>3</xdr:row>
      <xdr:rowOff>147526</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8DD918B2-BC79-4F00-875A-8BA0D9C5540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71212" y="76970"/>
              <a:ext cx="1048242" cy="62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49999997" createdVersion="5" refreshedVersion="8" minRefreshableVersion="3" recordCount="0" supportSubquery="1" supportAdvancedDrill="1" xr:uid="{1B9036A0-4228-42B4-889A-E66B82A35F86}">
  <cacheSource type="external" connectionId="4"/>
  <cacheFields count="4">
    <cacheField name="[Measures].[Count of Patient Id]" caption="Count of Patient Id" numFmtId="0" hierarchy="23" level="32767"/>
    <cacheField name="[Calender 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1851852" createdVersion="5" refreshedVersion="8" minRefreshableVersion="3" recordCount="0" supportSubquery="1" supportAdvancedDrill="1" xr:uid="{73E658A3-5336-44E9-B867-910ECD55827D}">
  <cacheSource type="external" connectionId="4"/>
  <cacheFields count="3">
    <cacheField name="[Measures].[Count of Patient Id]" caption="Count of Patient Id" numFmtId="0" hierarchy="23"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2430553" createdVersion="5" refreshedVersion="8" minRefreshableVersion="3" recordCount="0" supportSubquery="1" supportAdvancedDrill="1" xr:uid="{06845A22-0ADB-41A5-AF28-CE2F67F572C8}">
  <cacheSource type="external" connectionId="4"/>
  <cacheFields count="3">
    <cacheField name="[Measures].[Average of Patient Waittime]" caption="Average of Patient Waittime" numFmtId="0" hierarchy="25"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2777776" createdVersion="5" refreshedVersion="8" minRefreshableVersion="3" recordCount="0" supportSubquery="1" supportAdvancedDrill="1" xr:uid="{51F8C85F-440D-4BB3-B532-80DA2BD450B5}">
  <cacheSource type="external" connectionId="4"/>
  <cacheFields count="3">
    <cacheField name="[Measures].[Average of Patient Satisfaction Score]" caption="Average of Patient Satisfaction Score" numFmtId="0" hierarchy="27"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6250001" createdVersion="5" refreshedVersion="8" minRefreshableVersion="3" recordCount="0" supportSubquery="1" supportAdvancedDrill="1" xr:uid="{7CE53972-6EC0-4FA8-B6E9-F9FFBB182EAD}">
  <cacheSource type="external" connectionId="4"/>
  <cacheFields count="5">
    <cacheField name="[Calender Table].[Date (Month)].[Date (Month)]" caption="Date (Month)" numFmtId="0" hierarchy="3"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7175925" createdVersion="5" refreshedVersion="8" minRefreshableVersion="3" recordCount="0" supportSubquery="1" supportAdvancedDrill="1" xr:uid="{EBD358D4-5621-4FAE-A32D-1717A6A5AACE}">
  <cacheSource type="external" connectionId="4"/>
  <cacheFields count="4">
    <cacheField name="[Calender 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0" level="32767"/>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798611" createdVersion="5" refreshedVersion="8" minRefreshableVersion="3" recordCount="0" supportSubquery="1" supportAdvancedDrill="1" xr:uid="{7B8BA930-8D48-47A9-8E2E-2341B3F9D081}">
  <cacheSource type="external" connectionId="4"/>
  <cacheFields count="4">
    <cacheField name="[Calender Table].[Date (Month)].[Date (Month)]" caption="Date (Month)" numFmtId="0" hierarchy="3" level="1">
      <sharedItems containsSemiMixedTypes="0" containsNonDate="0" containsString="0"/>
    </cacheField>
    <cacheField name="[Hospital Emergency Room Data].[Attend Status].[Attend Status]" caption="Attend Status" numFmtId="0" hierarchy="17" level="1">
      <sharedItems count="2">
        <s v="Delayed"/>
        <s v="On-time"/>
      </sharedItems>
    </cacheField>
    <cacheField name="[Measures].[Count of Attend Status]" caption="Count of Attend Status" numFmtId="0" hierarchy="31" level="32767"/>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8796296" createdVersion="5" refreshedVersion="8" minRefreshableVersion="3" recordCount="0" supportSubquery="1" supportAdvancedDrill="1" xr:uid="{9F2BFFCB-63C1-482A-B106-ACAB0982D708}">
  <cacheSource type="external" connectionId="4"/>
  <cacheFields count="4">
    <cacheField name="[Calender 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59606481" createdVersion="5" refreshedVersion="8" minRefreshableVersion="3" recordCount="0" supportSubquery="1" supportAdvancedDrill="1" xr:uid="{56B3C803-29D3-4B48-8EC7-0450EC5A7C98}">
  <cacheSource type="external" connectionId="4"/>
  <cacheFields count="4">
    <cacheField name="[Calender 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1"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36660300927" createdVersion="5" refreshedVersion="8" minRefreshableVersion="3" recordCount="0" supportSubquery="1" supportAdvancedDrill="1" xr:uid="{FEA2980C-D3E3-4AC7-BCB7-FD5B1F47F936}">
  <cacheSource type="external" connectionId="4"/>
  <cacheFields count="2">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unt="1">
        <s v="2023"/>
      </sharedItems>
    </cacheField>
  </cacheFields>
  <cacheHierarchies count="35">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71591053241" createdVersion="3" refreshedVersion="8" minRefreshableVersion="3" recordCount="0" supportSubquery="1" supportAdvancedDrill="1" xr:uid="{7147326F-38EE-436B-925B-C9967941DE69}">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6797865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da computer" refreshedDate="46270.818692939814" createdVersion="3" refreshedVersion="8" minRefreshableVersion="3" recordCount="0" supportSubquery="1" supportAdvancedDrill="1" xr:uid="{B986B332-E232-4224-84BC-724EA5FEA7CE}">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 Status]" caption="Attend Status" attribute="1" defaultMemberUniqueName="[Hospital Emergency Room Data].[Attend Status].[All]" allUniqueName="[Hospital Emergency Room Data].[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ttend Status]" caption="Count of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165337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6FA12-C8C3-4AB9-8C9F-034199D12753}" name="PivotTable10" cacheId="41" applyNumberFormats="0" applyBorderFormats="0" applyFontFormats="0" applyPatternFormats="0" applyAlignmentFormats="0" applyWidthHeightFormats="1" dataCaption="Values" tag="7be5b314-e72a-4568-b9ab-f22e4f11d4bc" updatedVersion="8" minRefreshableVersion="3" subtotalHiddenItems="1" itemPrintTitles="1" createdVersion="5" indent="0" outline="1" outlineData="1" multipleFieldFilters="0" chartFormat="35">
  <location ref="R38:R4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5">
    <format dxfId="121">
      <pivotArea outline="0" collapsedLevelsAreSubtotals="1" fieldPosition="0"/>
    </format>
    <format dxfId="120">
      <pivotArea type="all" dataOnly="0" outline="0"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s>
  <pivotHierarchies count="35">
    <pivotHierarchy dragToData="1"/>
    <pivotHierarchy multipleItemSelectionAllowed="1" dragToData="1"/>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421FFE-6D8A-458C-9C9E-691BC5BC3CB2}" name="PivotTable9" cacheId="38" applyNumberFormats="0" applyBorderFormats="0" applyFontFormats="0" applyPatternFormats="0" applyAlignmentFormats="0" applyWidthHeightFormats="1" dataCaption="Values" tag="dc3c1248-1d1b-4699-829f-740d7191a8ea" updatedVersion="8" minRefreshableVersion="3" subtotalHiddenItems="1" itemPrintTitles="1" createdVersion="5" indent="0" outline="1" outlineData="1" multipleFieldFilters="0" chartFormat="35">
  <location ref="O39:P4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7">
    <format dxfId="122">
      <pivotArea outline="0" collapsedLevelsAreSubtotals="1" fieldPosition="0"/>
    </format>
    <format dxfId="116">
      <pivotArea type="all" dataOnly="0" outline="0" fieldPosition="0"/>
    </format>
    <format dxfId="115">
      <pivotArea outline="0" collapsedLevelsAreSubtotals="1" fieldPosition="0"/>
    </format>
    <format dxfId="114">
      <pivotArea field="1" type="button" dataOnly="0" labelOnly="1" outline="0" axis="axisRow" fieldPosition="0"/>
    </format>
    <format dxfId="113">
      <pivotArea dataOnly="0" labelOnly="1" fieldPosition="0">
        <references count="1">
          <reference field="1" count="0"/>
        </references>
      </pivotArea>
    </format>
    <format dxfId="112">
      <pivotArea dataOnly="0" labelOnly="1" grandRow="1" outline="0" fieldPosition="0"/>
    </format>
    <format dxfId="111">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D54D2-42A9-4318-BF09-6FC880D4462C}" name="PivotTable4" cacheId="14" applyNumberFormats="0" applyBorderFormats="0" applyFontFormats="0" applyPatternFormats="0" applyAlignmentFormats="0" applyWidthHeightFormats="1" dataCaption="Values" tag="defafcbb-808d-4a0a-b208-d8326a5177d8" updatedVersion="8" minRefreshableVersion="3" itemPrintTitles="1" createdVersion="5" indent="0" outline="1" outlineData="1" multipleFieldFilters="0">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formats count="6">
    <format dxfId="109">
      <pivotArea type="all" dataOnly="0" outline="0" fieldPosition="0"/>
    </format>
    <format dxfId="108">
      <pivotArea outline="0" collapsedLevelsAreSubtotals="1"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outline="0" axis="axisValues" fieldPosition="0"/>
    </format>
  </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AD362-2CA0-4592-A0BA-DB929A4F3E76}" name="PivotTable8" cacheId="35" applyNumberFormats="0" applyBorderFormats="0" applyFontFormats="0" applyPatternFormats="0" applyAlignmentFormats="0" applyWidthHeightFormats="1" dataCaption="Values" tag="aa13e7a3-6690-41de-8276-116b5554f0e1" updatedVersion="8" minRefreshableVersion="3" subtotalHiddenItems="1" itemPrintTitles="1" createdVersion="5" indent="0" outline="1" outlineData="1" multipleFieldFilters="0" chartFormat="32">
  <location ref="L39:M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7">
    <format dxfId="123">
      <pivotArea outline="0" collapsedLevelsAreSubtotals="1" fieldPosition="0"/>
    </format>
    <format dxfId="102">
      <pivotArea type="all" dataOnly="0" outline="0" fieldPosition="0"/>
    </format>
    <format dxfId="101">
      <pivotArea outline="0" collapsedLevelsAreSubtotals="1" fieldPosition="0"/>
    </format>
    <format dxfId="100">
      <pivotArea field="1" type="button" dataOnly="0" labelOnly="1" outline="0" axis="axisRow" fieldPosition="0"/>
    </format>
    <format dxfId="99">
      <pivotArea dataOnly="0" labelOnly="1" fieldPosition="0">
        <references count="1">
          <reference field="1" count="0"/>
        </references>
      </pivotArea>
    </format>
    <format dxfId="98">
      <pivotArea dataOnly="0" labelOnly="1" grandRow="1" outline="0" fieldPosition="0"/>
    </format>
    <format dxfId="97">
      <pivotArea dataOnly="0" labelOnly="1" outline="0" axis="axisValues"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7B637-5956-4790-A7E9-C3DE0ECA89EE}" name="PivotTable3" cacheId="23" applyNumberFormats="0" applyBorderFormats="0" applyFontFormats="0" applyPatternFormats="0" applyAlignmentFormats="0" applyWidthHeightFormats="1" dataCaption="Values" tag="365f0132-3c35-43db-92db-3bea194f3577"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124">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D50308-90C3-476B-9661-7D0E4FC28091}" name="PivotTable2" cacheId="20" applyNumberFormats="0" applyBorderFormats="0" applyFontFormats="0" applyPatternFormats="0" applyAlignmentFormats="0" applyWidthHeightFormats="1" dataCaption="Values" tag="ae17a6a4-5ffe-44c9-9548-2aa93aeeced3"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125">
      <pivotArea outline="0" collapsedLevelsAreSubtotals="1"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71B078-C301-4ED6-82EC-72F7A8DFBDEE}" name="PivotTable7" cacheId="32" applyNumberFormats="0" applyBorderFormats="0" applyFontFormats="0" applyPatternFormats="0" applyAlignmentFormats="0" applyWidthHeightFormats="1" dataCaption="Values" tag="63423419-3f38-4a38-939c-3a73dc49e3c5" updatedVersion="8" minRefreshableVersion="3" subtotalHiddenItems="1" itemPrintTitles="1" createdVersion="5" indent="0" outline="1" outlineData="1" multipleFieldFilters="0" chartFormat="26">
  <location ref="I39:J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Attend Status" fld="2" subtotal="count" baseField="0" baseItem="0" numFmtId="1"/>
  </dataFields>
  <formats count="7">
    <format dxfId="126">
      <pivotArea outline="0" collapsedLevelsAreSubtotals="1" fieldPosition="0"/>
    </format>
    <format dxfId="87">
      <pivotArea type="all" dataOnly="0" outline="0" fieldPosition="0"/>
    </format>
    <format dxfId="86">
      <pivotArea outline="0" collapsedLevelsAreSubtotals="1"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grandRow="1" outline="0" fieldPosition="0"/>
    </format>
    <format dxfId="82">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28187-7704-4434-8E21-930D23C9525C}" name="PivotTable1" cacheId="17" applyNumberFormats="0" applyBorderFormats="0" applyFontFormats="0" applyPatternFormats="0" applyAlignmentFormats="0" applyWidthHeightFormats="1" dataCaption="Values" tag="3774a393-7624-4aea-8623-9b3bb43d907a" updatedVersion="8" minRefreshableVersion="3"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3">
    <format dxfId="80">
      <pivotArea type="all" dataOnly="0" outline="0" fieldPosition="0"/>
    </format>
    <format dxfId="79">
      <pivotArea outline="0" collapsedLevelsAreSubtotals="1" fieldPosition="0"/>
    </format>
    <format dxfId="78">
      <pivotArea dataOnly="0" labelOnly="1" outline="0" axis="axisValues" fieldPosition="0"/>
    </format>
  </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708BF5-0669-49F6-81B7-04C7F88295CC}" name="PivotTable6" cacheId="29" applyNumberFormats="0" applyBorderFormats="0" applyFontFormats="0" applyPatternFormats="0" applyAlignmentFormats="0" applyWidthHeightFormats="1" dataCaption="Values" tag="4bf275ab-c89b-4915-811b-8f3f9b8b7570" updatedVersion="8" minRefreshableVersion="3" subtotalHiddenItems="1" itemPrintTitles="1" createdVersion="5" indent="0" outline="1" outlineData="1" multipleFieldFilters="0" chartFormat="10">
  <location ref="F39:G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7">
    <format dxfId="127">
      <pivotArea outline="0" collapsedLevelsAreSubtotals="1" fieldPosition="0"/>
    </format>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outline="0" axis="axisValues" fieldPosition="0"/>
    </format>
  </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4"/>
          </reference>
        </references>
      </pivotArea>
    </chartFormat>
    <chartFormat chart="9" format="4">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D184D3-4728-434C-9718-262422503051}" name="PivotTable5" cacheId="26" applyNumberFormats="0" applyBorderFormats="0" applyFontFormats="0" applyPatternFormats="0" applyAlignmentFormats="0" applyWidthHeightFormats="1" dataCaption="Values" tag="f9872b24-3baf-4786-90a3-4536fa01af12" updatedVersion="8" minRefreshableVersion="3" subtotalHiddenItems="1" itemPrintTitles="1" createdVersion="5" indent="0" outline="1" outlineData="1" multipleFieldFilters="0" chartFormat="7">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3" fld="4" subtotal="count" showDataAs="percentOfTotal" baseField="0" baseItem="0" numFmtId="10">
      <extLst>
        <ext xmlns:x14="http://schemas.microsoft.com/office/spreadsheetml/2009/9/main" uri="{E15A36E0-9728-4e99-A89B-3F7291B0FE68}">
          <x14:dataField sourceField="1" uniqueName="[__Xl3].[Measures].[Count of Patient Admission Flag]"/>
        </ext>
      </extLst>
    </dataField>
  </dataFields>
  <formats count="8">
    <format dxfId="129">
      <pivotArea outline="0" collapsedLevelsAreSubtotals="1" fieldPosition="0"/>
    </format>
    <format dxfId="128">
      <pivotArea outline="0" fieldPosition="0">
        <references count="1">
          <reference field="4294967294" count="1">
            <x v="1"/>
          </reference>
        </references>
      </pivotArea>
    </format>
    <format dxfId="69">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16E5A1E-21B0-4255-BA43-96048024C62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C1884F7-4D91-4BC3-89E5-909E8C26BF4B}" sourceName="[Calender Table].[Date (Month)]">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s>
  <data>
    <olap pivotCacheId="567978653">
      <levels count="2">
        <level uniqueName="[Calender Table].[Date (Month)].[(All)]" sourceCaption="(All)" count="0"/>
        <level uniqueName="[Calender Table].[Date (Month)].[Date (Month)]" sourceCaption="Date (Month)" count="12">
          <ranges>
            <range startItem="0">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i n="[Calender Table].[Date (Month)].&amp;[Jan]" c="Jan" nd="1"/>
              <i n="[Calender Table].[Date (Month)].&amp;[Feb]" c="Feb" nd="1"/>
              <i n="[Calender Table].[Date (Month)].&amp;[Mar]" c="Mar" nd="1"/>
            </range>
          </ranges>
        </level>
      </levels>
      <selections count="1">
        <selection n="[Calender 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6F80906-83BA-4AA7-867E-A974FD89C856}" sourceName="[Calender Table].[Date (Year)]">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816533774">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2EC092B-71DE-4884-AA47-C4A63F3135F8}" cache="Slicer_Date__Month" caption="Date (Month)" showCaption="0" level="1" style="SLICER 2" rowHeight="205200"/>
  <slicer name="Date (Year)" xr10:uid="{1E06E257-DCAC-43E8-A62E-C4390D1DD2CC}" cache="Slicer_Date__Year" caption="Date (Year)" showCaption="0" level="1" style="SLICER 2" rowHeight="208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0F5C8-4790-4B4B-96CC-4C10A500B96A}" name="Table_ExternalData_1" displayName="Table_ExternalData_1" ref="A3:M227" tableType="queryTable" totalsRowShown="0">
  <autoFilter ref="A3:M227" xr:uid="{34F0F5C8-4790-4B4B-96CC-4C10A500B96A}"/>
  <tableColumns count="13">
    <tableColumn id="1" xr3:uid="{5EE41F3C-2B63-4345-BD12-123ACE840F78}" uniqueName="1" name="Hospital Emergency Room Data[Patient Id]" queryTableFieldId="1"/>
    <tableColumn id="2" xr3:uid="{99A8A25D-0902-43EE-AB80-4082A43E21AD}" uniqueName="2" name="Hospital Emergency Room Data[Patient Admission Date]" queryTableFieldId="2" dataDxfId="131"/>
    <tableColumn id="3" xr3:uid="{09A87D5E-E970-4D78-9034-9CF5F1004BEC}" uniqueName="3" name="Hospital Emergency Room Data[Patient Admission Time]" queryTableFieldId="3" dataDxfId="130"/>
    <tableColumn id="4" xr3:uid="{22DC97EF-BABC-4C42-A584-993CA7E98075}" uniqueName="4" name="Hospital Emergency Room Data[Patient Name]" queryTableFieldId="4"/>
    <tableColumn id="5" xr3:uid="{AFB387D3-0CFB-41C5-9C9D-AD6F0C1B48E9}" uniqueName="5" name="Hospital Emergency Room Data[Patient Gender]" queryTableFieldId="5"/>
    <tableColumn id="6" xr3:uid="{F5B85213-EB01-4291-A5CD-C2A3133DC640}" uniqueName="6" name="Hospital Emergency Room Data[Patient Age]" queryTableFieldId="6"/>
    <tableColumn id="7" xr3:uid="{BDC27B78-95EE-49F0-8B9B-1EABFF463398}" uniqueName="7" name="Hospital Emergency Room Data[Patient Race]" queryTableFieldId="7"/>
    <tableColumn id="8" xr3:uid="{9884B682-44A2-4D4A-A0B6-C6C4C8C431AD}" uniqueName="8" name="Hospital Emergency Room Data[Department Referral]" queryTableFieldId="8"/>
    <tableColumn id="9" xr3:uid="{622D09B4-EE9F-4065-AC4E-794E16C8B6CD}" uniqueName="9" name="Hospital Emergency Room Data[Patient Admission Flag]" queryTableFieldId="9"/>
    <tableColumn id="10" xr3:uid="{5E3028EF-4614-4D70-9799-0EED6AFE2919}" uniqueName="10" name="Hospital Emergency Room Data[Patient Satisfaction Score]" queryTableFieldId="10"/>
    <tableColumn id="11" xr3:uid="{5D06D8AF-55FD-469E-A5DC-4E613EC9DE74}" uniqueName="11" name="Hospital Emergency Room Data[Patient Waittime]" queryTableFieldId="11"/>
    <tableColumn id="12" xr3:uid="{B3BCCD31-2AE1-4178-B173-7C2D4BA55CDF}" uniqueName="12" name="Hospital Emergency Room Data[Age Group]" queryTableFieldId="12"/>
    <tableColumn id="13" xr3:uid="{BD14C027-B247-4C5B-BC0C-57BA1D5F8A00}" uniqueName="13" name="Hospital Emergency Room Data[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90428-0C4B-4DBF-848C-8BDA117CF021}">
  <dimension ref="A1:M227"/>
  <sheetViews>
    <sheetView workbookViewId="0"/>
  </sheetViews>
  <sheetFormatPr defaultRowHeight="14.5" x14ac:dyDescent="0.35"/>
  <cols>
    <col min="1" max="1" width="39.36328125" bestFit="1" customWidth="1"/>
    <col min="2" max="2" width="51.08984375" bestFit="1" customWidth="1"/>
    <col min="3" max="3" width="51.1796875" bestFit="1" customWidth="1"/>
    <col min="4" max="4" width="42.72656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40.08984375" bestFit="1" customWidth="1"/>
    <col min="13" max="13" width="42.81640625" bestFit="1" customWidth="1"/>
  </cols>
  <sheetData>
    <row r="1" spans="1:13" x14ac:dyDescent="0.35">
      <c r="A1" s="4" t="s">
        <v>501</v>
      </c>
    </row>
    <row r="3" spans="1:13" x14ac:dyDescent="0.35">
      <c r="A3" t="s">
        <v>478</v>
      </c>
      <c r="B3" t="s">
        <v>479</v>
      </c>
      <c r="C3" t="s">
        <v>480</v>
      </c>
      <c r="D3" t="s">
        <v>481</v>
      </c>
      <c r="E3" t="s">
        <v>482</v>
      </c>
      <c r="F3" t="s">
        <v>483</v>
      </c>
      <c r="G3" t="s">
        <v>484</v>
      </c>
      <c r="H3" t="s">
        <v>485</v>
      </c>
      <c r="I3" t="s">
        <v>486</v>
      </c>
      <c r="J3" t="s">
        <v>487</v>
      </c>
      <c r="K3" t="s">
        <v>488</v>
      </c>
      <c r="L3" t="s">
        <v>489</v>
      </c>
      <c r="M3" t="s">
        <v>490</v>
      </c>
    </row>
    <row r="4" spans="1:13" x14ac:dyDescent="0.35">
      <c r="A4" t="s">
        <v>403</v>
      </c>
      <c r="B4" s="1">
        <v>45338</v>
      </c>
      <c r="C4" s="3">
        <v>0.21249999999999999</v>
      </c>
      <c r="D4" t="s">
        <v>404</v>
      </c>
      <c r="E4" t="s">
        <v>0</v>
      </c>
      <c r="F4">
        <v>22</v>
      </c>
      <c r="G4" t="s">
        <v>1</v>
      </c>
      <c r="H4" t="s">
        <v>2</v>
      </c>
      <c r="I4" t="s">
        <v>5</v>
      </c>
      <c r="K4">
        <v>23</v>
      </c>
      <c r="L4" t="s">
        <v>491</v>
      </c>
      <c r="M4" t="s">
        <v>492</v>
      </c>
    </row>
    <row r="5" spans="1:13" x14ac:dyDescent="0.35">
      <c r="A5" t="s">
        <v>405</v>
      </c>
      <c r="B5" s="1">
        <v>45332</v>
      </c>
      <c r="C5" s="3">
        <v>0.53819444444444442</v>
      </c>
      <c r="D5" t="s">
        <v>406</v>
      </c>
      <c r="E5" t="s">
        <v>0</v>
      </c>
      <c r="F5">
        <v>75</v>
      </c>
      <c r="G5" t="s">
        <v>1</v>
      </c>
      <c r="H5" t="s">
        <v>2</v>
      </c>
      <c r="I5" t="s">
        <v>5</v>
      </c>
      <c r="K5">
        <v>39</v>
      </c>
      <c r="L5" t="s">
        <v>493</v>
      </c>
      <c r="M5" t="s">
        <v>494</v>
      </c>
    </row>
    <row r="6" spans="1:13" x14ac:dyDescent="0.35">
      <c r="A6" t="s">
        <v>407</v>
      </c>
      <c r="B6" s="1">
        <v>45336</v>
      </c>
      <c r="C6" s="3">
        <v>0.44791666666666669</v>
      </c>
      <c r="D6" t="s">
        <v>408</v>
      </c>
      <c r="E6" t="s">
        <v>0</v>
      </c>
      <c r="F6">
        <v>57</v>
      </c>
      <c r="G6" t="s">
        <v>1</v>
      </c>
      <c r="H6" t="s">
        <v>2</v>
      </c>
      <c r="I6" t="s">
        <v>5</v>
      </c>
      <c r="K6">
        <v>58</v>
      </c>
      <c r="L6" t="s">
        <v>495</v>
      </c>
      <c r="M6" t="s">
        <v>494</v>
      </c>
    </row>
    <row r="7" spans="1:13" x14ac:dyDescent="0.35">
      <c r="A7" t="s">
        <v>409</v>
      </c>
      <c r="B7" s="1">
        <v>45339</v>
      </c>
      <c r="C7" s="3">
        <v>0.86319444444444449</v>
      </c>
      <c r="D7" t="s">
        <v>410</v>
      </c>
      <c r="E7" t="s">
        <v>0</v>
      </c>
      <c r="F7">
        <v>37</v>
      </c>
      <c r="G7" t="s">
        <v>1</v>
      </c>
      <c r="H7" t="s">
        <v>2</v>
      </c>
      <c r="I7" t="s">
        <v>5</v>
      </c>
      <c r="K7">
        <v>22</v>
      </c>
      <c r="L7" t="s">
        <v>496</v>
      </c>
      <c r="M7" t="s">
        <v>492</v>
      </c>
    </row>
    <row r="8" spans="1:13" x14ac:dyDescent="0.35">
      <c r="A8" t="s">
        <v>411</v>
      </c>
      <c r="B8" s="1">
        <v>45350</v>
      </c>
      <c r="C8" s="3">
        <v>0.74722222222222223</v>
      </c>
      <c r="D8" t="s">
        <v>412</v>
      </c>
      <c r="E8" t="s">
        <v>0</v>
      </c>
      <c r="F8">
        <v>20</v>
      </c>
      <c r="G8" t="s">
        <v>1</v>
      </c>
      <c r="H8" t="s">
        <v>2</v>
      </c>
      <c r="I8" t="s">
        <v>5</v>
      </c>
      <c r="K8">
        <v>40</v>
      </c>
      <c r="L8" t="s">
        <v>491</v>
      </c>
      <c r="M8" t="s">
        <v>494</v>
      </c>
    </row>
    <row r="9" spans="1:13" x14ac:dyDescent="0.35">
      <c r="A9" t="s">
        <v>413</v>
      </c>
      <c r="B9" s="1">
        <v>45338</v>
      </c>
      <c r="C9" s="3">
        <v>0.87847222222222221</v>
      </c>
      <c r="D9" t="s">
        <v>414</v>
      </c>
      <c r="E9" t="s">
        <v>0</v>
      </c>
      <c r="F9">
        <v>19</v>
      </c>
      <c r="G9" t="s">
        <v>1</v>
      </c>
      <c r="H9" t="s">
        <v>2</v>
      </c>
      <c r="I9" t="s">
        <v>5</v>
      </c>
      <c r="K9">
        <v>42</v>
      </c>
      <c r="L9" t="s">
        <v>497</v>
      </c>
      <c r="M9" t="s">
        <v>494</v>
      </c>
    </row>
    <row r="10" spans="1:13" x14ac:dyDescent="0.35">
      <c r="A10" t="s">
        <v>415</v>
      </c>
      <c r="B10" s="1">
        <v>45340</v>
      </c>
      <c r="C10" s="3">
        <v>0.97916666666666663</v>
      </c>
      <c r="D10" t="s">
        <v>416</v>
      </c>
      <c r="E10" t="s">
        <v>0</v>
      </c>
      <c r="F10">
        <v>17</v>
      </c>
      <c r="G10" t="s">
        <v>1</v>
      </c>
      <c r="H10" t="s">
        <v>2</v>
      </c>
      <c r="I10" t="s">
        <v>5</v>
      </c>
      <c r="K10">
        <v>23</v>
      </c>
      <c r="L10" t="s">
        <v>497</v>
      </c>
      <c r="M10" t="s">
        <v>492</v>
      </c>
    </row>
    <row r="11" spans="1:13" x14ac:dyDescent="0.35">
      <c r="A11" t="s">
        <v>417</v>
      </c>
      <c r="B11" s="1">
        <v>45350</v>
      </c>
      <c r="C11" s="3">
        <v>0.52152777777777781</v>
      </c>
      <c r="D11" t="s">
        <v>418</v>
      </c>
      <c r="E11" t="s">
        <v>0</v>
      </c>
      <c r="F11">
        <v>56</v>
      </c>
      <c r="G11" t="s">
        <v>1</v>
      </c>
      <c r="H11" t="s">
        <v>2</v>
      </c>
      <c r="I11" t="s">
        <v>5</v>
      </c>
      <c r="K11">
        <v>12</v>
      </c>
      <c r="L11" t="s">
        <v>495</v>
      </c>
      <c r="M11" t="s">
        <v>492</v>
      </c>
    </row>
    <row r="12" spans="1:13" x14ac:dyDescent="0.35">
      <c r="A12" t="s">
        <v>419</v>
      </c>
      <c r="B12" s="1">
        <v>45344</v>
      </c>
      <c r="C12" s="3">
        <v>0.99305555555555558</v>
      </c>
      <c r="D12" t="s">
        <v>420</v>
      </c>
      <c r="E12" t="s">
        <v>0</v>
      </c>
      <c r="F12">
        <v>5</v>
      </c>
      <c r="G12" t="s">
        <v>1</v>
      </c>
      <c r="H12" t="s">
        <v>2</v>
      </c>
      <c r="I12" t="s">
        <v>5</v>
      </c>
      <c r="K12">
        <v>33</v>
      </c>
      <c r="L12" t="s">
        <v>498</v>
      </c>
      <c r="M12" t="s">
        <v>494</v>
      </c>
    </row>
    <row r="13" spans="1:13" x14ac:dyDescent="0.35">
      <c r="A13" t="s">
        <v>421</v>
      </c>
      <c r="B13" s="1">
        <v>45340</v>
      </c>
      <c r="C13" s="3">
        <v>0.66180555555555554</v>
      </c>
      <c r="D13" t="s">
        <v>422</v>
      </c>
      <c r="E13" t="s">
        <v>0</v>
      </c>
      <c r="F13">
        <v>58</v>
      </c>
      <c r="G13" t="s">
        <v>1</v>
      </c>
      <c r="H13" t="s">
        <v>2</v>
      </c>
      <c r="I13" t="s">
        <v>5</v>
      </c>
      <c r="K13">
        <v>36</v>
      </c>
      <c r="L13" t="s">
        <v>495</v>
      </c>
      <c r="M13" t="s">
        <v>494</v>
      </c>
    </row>
    <row r="14" spans="1:13" x14ac:dyDescent="0.35">
      <c r="A14" t="s">
        <v>423</v>
      </c>
      <c r="B14" s="1">
        <v>45338</v>
      </c>
      <c r="C14" s="3">
        <v>0.14583333333333334</v>
      </c>
      <c r="D14" t="s">
        <v>424</v>
      </c>
      <c r="E14" t="s">
        <v>0</v>
      </c>
      <c r="F14">
        <v>61</v>
      </c>
      <c r="G14" t="s">
        <v>1</v>
      </c>
      <c r="H14" t="s">
        <v>2</v>
      </c>
      <c r="I14" t="s">
        <v>5</v>
      </c>
      <c r="K14">
        <v>56</v>
      </c>
      <c r="L14" t="s">
        <v>499</v>
      </c>
      <c r="M14" t="s">
        <v>494</v>
      </c>
    </row>
    <row r="15" spans="1:13" x14ac:dyDescent="0.35">
      <c r="A15" t="s">
        <v>425</v>
      </c>
      <c r="B15" s="1">
        <v>45344</v>
      </c>
      <c r="C15" s="3">
        <v>0.27083333333333331</v>
      </c>
      <c r="D15" t="s">
        <v>426</v>
      </c>
      <c r="E15" t="s">
        <v>0</v>
      </c>
      <c r="F15">
        <v>47</v>
      </c>
      <c r="G15" t="s">
        <v>1</v>
      </c>
      <c r="H15" t="s">
        <v>2</v>
      </c>
      <c r="I15" t="s">
        <v>5</v>
      </c>
      <c r="K15">
        <v>58</v>
      </c>
      <c r="L15" t="s">
        <v>500</v>
      </c>
      <c r="M15" t="s">
        <v>494</v>
      </c>
    </row>
    <row r="16" spans="1:13" x14ac:dyDescent="0.35">
      <c r="A16" t="s">
        <v>427</v>
      </c>
      <c r="B16" s="1">
        <v>45342</v>
      </c>
      <c r="C16" s="3">
        <v>0.2013888888888889</v>
      </c>
      <c r="D16" t="s">
        <v>428</v>
      </c>
      <c r="E16" t="s">
        <v>0</v>
      </c>
      <c r="F16">
        <v>11</v>
      </c>
      <c r="G16" t="s">
        <v>1</v>
      </c>
      <c r="H16" t="s">
        <v>2</v>
      </c>
      <c r="I16" t="s">
        <v>5</v>
      </c>
      <c r="K16">
        <v>55</v>
      </c>
      <c r="L16" t="s">
        <v>497</v>
      </c>
      <c r="M16" t="s">
        <v>494</v>
      </c>
    </row>
    <row r="17" spans="1:13" x14ac:dyDescent="0.35">
      <c r="A17" t="s">
        <v>429</v>
      </c>
      <c r="B17" s="1">
        <v>45346</v>
      </c>
      <c r="C17" s="3">
        <v>0.24236111111111111</v>
      </c>
      <c r="D17" t="s">
        <v>430</v>
      </c>
      <c r="E17" t="s">
        <v>0</v>
      </c>
      <c r="F17">
        <v>32</v>
      </c>
      <c r="G17" t="s">
        <v>1</v>
      </c>
      <c r="H17" t="s">
        <v>2</v>
      </c>
      <c r="I17" t="s">
        <v>5</v>
      </c>
      <c r="K17">
        <v>14</v>
      </c>
      <c r="L17" t="s">
        <v>496</v>
      </c>
      <c r="M17" t="s">
        <v>492</v>
      </c>
    </row>
    <row r="18" spans="1:13" x14ac:dyDescent="0.35">
      <c r="A18" t="s">
        <v>431</v>
      </c>
      <c r="B18" s="1">
        <v>45340</v>
      </c>
      <c r="C18" s="3">
        <v>0.58680555555555558</v>
      </c>
      <c r="D18" t="s">
        <v>432</v>
      </c>
      <c r="E18" t="s">
        <v>0</v>
      </c>
      <c r="F18">
        <v>58</v>
      </c>
      <c r="G18" t="s">
        <v>1</v>
      </c>
      <c r="H18" t="s">
        <v>2</v>
      </c>
      <c r="I18" t="s">
        <v>5</v>
      </c>
      <c r="K18">
        <v>21</v>
      </c>
      <c r="L18" t="s">
        <v>495</v>
      </c>
      <c r="M18" t="s">
        <v>492</v>
      </c>
    </row>
    <row r="19" spans="1:13" x14ac:dyDescent="0.35">
      <c r="A19" t="s">
        <v>433</v>
      </c>
      <c r="B19" s="1">
        <v>45324</v>
      </c>
      <c r="C19" s="3">
        <v>0.79513888888888884</v>
      </c>
      <c r="D19" t="s">
        <v>434</v>
      </c>
      <c r="E19" t="s">
        <v>0</v>
      </c>
      <c r="F19">
        <v>28</v>
      </c>
      <c r="G19" t="s">
        <v>1</v>
      </c>
      <c r="H19" t="s">
        <v>2</v>
      </c>
      <c r="I19" t="s">
        <v>5</v>
      </c>
      <c r="K19">
        <v>49</v>
      </c>
      <c r="L19" t="s">
        <v>491</v>
      </c>
      <c r="M19" t="s">
        <v>494</v>
      </c>
    </row>
    <row r="20" spans="1:13" x14ac:dyDescent="0.35">
      <c r="A20" t="s">
        <v>435</v>
      </c>
      <c r="B20" s="1">
        <v>45347</v>
      </c>
      <c r="C20" s="3">
        <v>0.80694444444444446</v>
      </c>
      <c r="D20" t="s">
        <v>436</v>
      </c>
      <c r="E20" t="s">
        <v>0</v>
      </c>
      <c r="F20">
        <v>48</v>
      </c>
      <c r="G20" t="s">
        <v>1</v>
      </c>
      <c r="H20" t="s">
        <v>2</v>
      </c>
      <c r="I20" t="s">
        <v>5</v>
      </c>
      <c r="K20">
        <v>41</v>
      </c>
      <c r="L20" t="s">
        <v>500</v>
      </c>
      <c r="M20" t="s">
        <v>494</v>
      </c>
    </row>
    <row r="21" spans="1:13" x14ac:dyDescent="0.35">
      <c r="A21" t="s">
        <v>41</v>
      </c>
      <c r="B21" s="1">
        <v>45343</v>
      </c>
      <c r="C21" s="3">
        <v>0.95486111111111116</v>
      </c>
      <c r="D21" t="s">
        <v>42</v>
      </c>
      <c r="E21" t="s">
        <v>6</v>
      </c>
      <c r="F21">
        <v>44</v>
      </c>
      <c r="G21" t="s">
        <v>1</v>
      </c>
      <c r="H21" t="s">
        <v>2</v>
      </c>
      <c r="I21" t="s">
        <v>5</v>
      </c>
      <c r="K21">
        <v>30</v>
      </c>
      <c r="L21" t="s">
        <v>500</v>
      </c>
      <c r="M21" t="s">
        <v>492</v>
      </c>
    </row>
    <row r="22" spans="1:13" x14ac:dyDescent="0.35">
      <c r="A22" t="s">
        <v>45</v>
      </c>
      <c r="B22" s="1">
        <v>45343</v>
      </c>
      <c r="C22" s="3">
        <v>0.37847222222222221</v>
      </c>
      <c r="D22" t="s">
        <v>46</v>
      </c>
      <c r="E22" t="s">
        <v>6</v>
      </c>
      <c r="F22">
        <v>38</v>
      </c>
      <c r="G22" t="s">
        <v>1</v>
      </c>
      <c r="H22" t="s">
        <v>2</v>
      </c>
      <c r="I22" t="s">
        <v>5</v>
      </c>
      <c r="K22">
        <v>55</v>
      </c>
      <c r="L22" t="s">
        <v>496</v>
      </c>
      <c r="M22" t="s">
        <v>494</v>
      </c>
    </row>
    <row r="23" spans="1:13" x14ac:dyDescent="0.35">
      <c r="A23" t="s">
        <v>57</v>
      </c>
      <c r="B23" s="1">
        <v>45333</v>
      </c>
      <c r="C23" s="3">
        <v>0.55486111111111114</v>
      </c>
      <c r="D23" t="s">
        <v>58</v>
      </c>
      <c r="E23" t="s">
        <v>6</v>
      </c>
      <c r="F23">
        <v>72</v>
      </c>
      <c r="G23" t="s">
        <v>1</v>
      </c>
      <c r="H23" t="s">
        <v>2</v>
      </c>
      <c r="I23" t="s">
        <v>5</v>
      </c>
      <c r="K23">
        <v>49</v>
      </c>
      <c r="L23" t="s">
        <v>493</v>
      </c>
      <c r="M23" t="s">
        <v>494</v>
      </c>
    </row>
    <row r="24" spans="1:13" x14ac:dyDescent="0.35">
      <c r="A24" t="s">
        <v>189</v>
      </c>
      <c r="B24" s="1">
        <v>45330</v>
      </c>
      <c r="C24" s="3">
        <v>0.69791666666666663</v>
      </c>
      <c r="D24" t="s">
        <v>190</v>
      </c>
      <c r="E24" t="s">
        <v>6</v>
      </c>
      <c r="F24">
        <v>16</v>
      </c>
      <c r="G24" t="s">
        <v>1</v>
      </c>
      <c r="H24" t="s">
        <v>2</v>
      </c>
      <c r="I24" t="s">
        <v>5</v>
      </c>
      <c r="K24">
        <v>46</v>
      </c>
      <c r="L24" t="s">
        <v>497</v>
      </c>
      <c r="M24" t="s">
        <v>494</v>
      </c>
    </row>
    <row r="25" spans="1:13" x14ac:dyDescent="0.35">
      <c r="A25" t="s">
        <v>191</v>
      </c>
      <c r="B25" s="1">
        <v>45347</v>
      </c>
      <c r="C25" s="3">
        <v>0.66041666666666665</v>
      </c>
      <c r="D25" t="s">
        <v>192</v>
      </c>
      <c r="E25" t="s">
        <v>6</v>
      </c>
      <c r="F25">
        <v>51</v>
      </c>
      <c r="G25" t="s">
        <v>1</v>
      </c>
      <c r="H25" t="s">
        <v>2</v>
      </c>
      <c r="I25" t="s">
        <v>5</v>
      </c>
      <c r="K25">
        <v>33</v>
      </c>
      <c r="L25" t="s">
        <v>495</v>
      </c>
      <c r="M25" t="s">
        <v>494</v>
      </c>
    </row>
    <row r="26" spans="1:13" x14ac:dyDescent="0.35">
      <c r="A26" t="s">
        <v>193</v>
      </c>
      <c r="B26" s="1">
        <v>45329</v>
      </c>
      <c r="C26" s="3">
        <v>0.35208333333333336</v>
      </c>
      <c r="D26" t="s">
        <v>194</v>
      </c>
      <c r="E26" t="s">
        <v>6</v>
      </c>
      <c r="F26">
        <v>65</v>
      </c>
      <c r="G26" t="s">
        <v>1</v>
      </c>
      <c r="H26" t="s">
        <v>2</v>
      </c>
      <c r="I26" t="s">
        <v>5</v>
      </c>
      <c r="K26">
        <v>39</v>
      </c>
      <c r="L26" t="s">
        <v>499</v>
      </c>
      <c r="M26" t="s">
        <v>494</v>
      </c>
    </row>
    <row r="27" spans="1:13" x14ac:dyDescent="0.35">
      <c r="A27" t="s">
        <v>195</v>
      </c>
      <c r="B27" s="1">
        <v>45334</v>
      </c>
      <c r="C27" s="3">
        <v>0.54652777777777772</v>
      </c>
      <c r="D27" t="s">
        <v>196</v>
      </c>
      <c r="E27" t="s">
        <v>6</v>
      </c>
      <c r="F27">
        <v>18</v>
      </c>
      <c r="G27" t="s">
        <v>1</v>
      </c>
      <c r="H27" t="s">
        <v>2</v>
      </c>
      <c r="I27" t="s">
        <v>5</v>
      </c>
      <c r="K27">
        <v>38</v>
      </c>
      <c r="L27" t="s">
        <v>497</v>
      </c>
      <c r="M27" t="s">
        <v>494</v>
      </c>
    </row>
    <row r="28" spans="1:13" x14ac:dyDescent="0.35">
      <c r="A28" t="s">
        <v>197</v>
      </c>
      <c r="B28" s="1">
        <v>45344</v>
      </c>
      <c r="C28" s="3">
        <v>0.69305555555555554</v>
      </c>
      <c r="D28" t="s">
        <v>198</v>
      </c>
      <c r="E28" t="s">
        <v>6</v>
      </c>
      <c r="F28">
        <v>72</v>
      </c>
      <c r="G28" t="s">
        <v>1</v>
      </c>
      <c r="H28" t="s">
        <v>2</v>
      </c>
      <c r="I28" t="s">
        <v>5</v>
      </c>
      <c r="K28">
        <v>14</v>
      </c>
      <c r="L28" t="s">
        <v>493</v>
      </c>
      <c r="M28" t="s">
        <v>492</v>
      </c>
    </row>
    <row r="29" spans="1:13" x14ac:dyDescent="0.35">
      <c r="A29" t="s">
        <v>199</v>
      </c>
      <c r="B29" s="1">
        <v>45344</v>
      </c>
      <c r="C29" s="3">
        <v>0.35208333333333336</v>
      </c>
      <c r="D29" t="s">
        <v>200</v>
      </c>
      <c r="E29" t="s">
        <v>6</v>
      </c>
      <c r="F29">
        <v>65</v>
      </c>
      <c r="G29" t="s">
        <v>1</v>
      </c>
      <c r="H29" t="s">
        <v>2</v>
      </c>
      <c r="I29" t="s">
        <v>5</v>
      </c>
      <c r="K29">
        <v>36</v>
      </c>
      <c r="L29" t="s">
        <v>499</v>
      </c>
      <c r="M29" t="s">
        <v>494</v>
      </c>
    </row>
    <row r="30" spans="1:13" x14ac:dyDescent="0.35">
      <c r="A30" t="s">
        <v>201</v>
      </c>
      <c r="B30" s="1">
        <v>45343</v>
      </c>
      <c r="C30" s="3">
        <v>0.74652777777777779</v>
      </c>
      <c r="D30" t="s">
        <v>202</v>
      </c>
      <c r="E30" t="s">
        <v>6</v>
      </c>
      <c r="F30">
        <v>58</v>
      </c>
      <c r="G30" t="s">
        <v>1</v>
      </c>
      <c r="H30" t="s">
        <v>2</v>
      </c>
      <c r="I30" t="s">
        <v>5</v>
      </c>
      <c r="K30">
        <v>24</v>
      </c>
      <c r="L30" t="s">
        <v>495</v>
      </c>
      <c r="M30" t="s">
        <v>492</v>
      </c>
    </row>
    <row r="31" spans="1:13" x14ac:dyDescent="0.35">
      <c r="A31" t="s">
        <v>203</v>
      </c>
      <c r="B31" s="1">
        <v>45330</v>
      </c>
      <c r="C31" s="3">
        <v>0.99930555555555556</v>
      </c>
      <c r="D31" t="s">
        <v>204</v>
      </c>
      <c r="E31" t="s">
        <v>6</v>
      </c>
      <c r="F31">
        <v>36</v>
      </c>
      <c r="G31" t="s">
        <v>1</v>
      </c>
      <c r="H31" t="s">
        <v>2</v>
      </c>
      <c r="I31" t="s">
        <v>5</v>
      </c>
      <c r="K31">
        <v>49</v>
      </c>
      <c r="L31" t="s">
        <v>496</v>
      </c>
      <c r="M31" t="s">
        <v>494</v>
      </c>
    </row>
    <row r="32" spans="1:13" x14ac:dyDescent="0.35">
      <c r="A32" t="s">
        <v>205</v>
      </c>
      <c r="B32" s="1">
        <v>45327</v>
      </c>
      <c r="C32" s="3">
        <v>0.46041666666666664</v>
      </c>
      <c r="D32" t="s">
        <v>206</v>
      </c>
      <c r="E32" t="s">
        <v>6</v>
      </c>
      <c r="F32">
        <v>79</v>
      </c>
      <c r="G32" t="s">
        <v>1</v>
      </c>
      <c r="H32" t="s">
        <v>2</v>
      </c>
      <c r="I32" t="s">
        <v>5</v>
      </c>
      <c r="K32">
        <v>46</v>
      </c>
      <c r="L32" t="s">
        <v>493</v>
      </c>
      <c r="M32" t="s">
        <v>494</v>
      </c>
    </row>
    <row r="33" spans="1:13" x14ac:dyDescent="0.35">
      <c r="A33" t="s">
        <v>207</v>
      </c>
      <c r="B33" s="1">
        <v>45346</v>
      </c>
      <c r="C33" s="3">
        <v>0.29305555555555557</v>
      </c>
      <c r="D33" t="s">
        <v>208</v>
      </c>
      <c r="E33" t="s">
        <v>6</v>
      </c>
      <c r="F33">
        <v>72</v>
      </c>
      <c r="G33" t="s">
        <v>1</v>
      </c>
      <c r="H33" t="s">
        <v>2</v>
      </c>
      <c r="I33" t="s">
        <v>5</v>
      </c>
      <c r="K33">
        <v>36</v>
      </c>
      <c r="L33" t="s">
        <v>493</v>
      </c>
      <c r="M33" t="s">
        <v>494</v>
      </c>
    </row>
    <row r="34" spans="1:13" x14ac:dyDescent="0.35">
      <c r="A34" t="s">
        <v>209</v>
      </c>
      <c r="B34" s="1">
        <v>45345</v>
      </c>
      <c r="C34" s="3">
        <v>0.72499999999999998</v>
      </c>
      <c r="D34" t="s">
        <v>210</v>
      </c>
      <c r="E34" t="s">
        <v>6</v>
      </c>
      <c r="F34">
        <v>46</v>
      </c>
      <c r="G34" t="s">
        <v>1</v>
      </c>
      <c r="H34" t="s">
        <v>2</v>
      </c>
      <c r="I34" t="s">
        <v>5</v>
      </c>
      <c r="K34">
        <v>46</v>
      </c>
      <c r="L34" t="s">
        <v>500</v>
      </c>
      <c r="M34" t="s">
        <v>494</v>
      </c>
    </row>
    <row r="35" spans="1:13" x14ac:dyDescent="0.35">
      <c r="A35" t="s">
        <v>65</v>
      </c>
      <c r="B35" s="1">
        <v>45347</v>
      </c>
      <c r="C35" s="3">
        <v>0.31111111111111112</v>
      </c>
      <c r="D35" t="s">
        <v>66</v>
      </c>
      <c r="E35" t="s">
        <v>6</v>
      </c>
      <c r="F35">
        <v>45</v>
      </c>
      <c r="G35" t="s">
        <v>7</v>
      </c>
      <c r="H35" t="s">
        <v>2</v>
      </c>
      <c r="I35" t="s">
        <v>5</v>
      </c>
      <c r="K35">
        <v>37</v>
      </c>
      <c r="L35" t="s">
        <v>500</v>
      </c>
      <c r="M35" t="s">
        <v>494</v>
      </c>
    </row>
    <row r="36" spans="1:13" x14ac:dyDescent="0.35">
      <c r="A36" t="s">
        <v>67</v>
      </c>
      <c r="B36" s="1">
        <v>45327</v>
      </c>
      <c r="C36" s="3">
        <v>0.80694444444444446</v>
      </c>
      <c r="D36" t="s">
        <v>68</v>
      </c>
      <c r="E36" t="s">
        <v>6</v>
      </c>
      <c r="F36">
        <v>8</v>
      </c>
      <c r="G36" t="s">
        <v>7</v>
      </c>
      <c r="H36" t="s">
        <v>2</v>
      </c>
      <c r="I36" t="s">
        <v>5</v>
      </c>
      <c r="K36">
        <v>32</v>
      </c>
      <c r="L36" t="s">
        <v>498</v>
      </c>
      <c r="M36" t="s">
        <v>494</v>
      </c>
    </row>
    <row r="37" spans="1:13" x14ac:dyDescent="0.35">
      <c r="A37" t="s">
        <v>69</v>
      </c>
      <c r="B37" s="1">
        <v>45338</v>
      </c>
      <c r="C37" s="3">
        <v>0.55486111111111114</v>
      </c>
      <c r="D37" t="s">
        <v>70</v>
      </c>
      <c r="E37" t="s">
        <v>6</v>
      </c>
      <c r="F37">
        <v>72</v>
      </c>
      <c r="G37" t="s">
        <v>7</v>
      </c>
      <c r="H37" t="s">
        <v>2</v>
      </c>
      <c r="I37" t="s">
        <v>5</v>
      </c>
      <c r="K37">
        <v>46</v>
      </c>
      <c r="L37" t="s">
        <v>493</v>
      </c>
      <c r="M37" t="s">
        <v>494</v>
      </c>
    </row>
    <row r="38" spans="1:13" x14ac:dyDescent="0.35">
      <c r="A38" t="s">
        <v>71</v>
      </c>
      <c r="B38" s="1">
        <v>45348</v>
      </c>
      <c r="C38" s="3">
        <v>0.39861111111111114</v>
      </c>
      <c r="D38" t="s">
        <v>72</v>
      </c>
      <c r="E38" t="s">
        <v>6</v>
      </c>
      <c r="F38">
        <v>65</v>
      </c>
      <c r="G38" t="s">
        <v>7</v>
      </c>
      <c r="H38" t="s">
        <v>2</v>
      </c>
      <c r="I38" t="s">
        <v>5</v>
      </c>
      <c r="K38">
        <v>40</v>
      </c>
      <c r="L38" t="s">
        <v>499</v>
      </c>
      <c r="M38" t="s">
        <v>494</v>
      </c>
    </row>
    <row r="39" spans="1:13" x14ac:dyDescent="0.35">
      <c r="A39" t="s">
        <v>73</v>
      </c>
      <c r="B39" s="1">
        <v>45326</v>
      </c>
      <c r="C39" s="3">
        <v>0.37708333333333333</v>
      </c>
      <c r="D39" t="s">
        <v>74</v>
      </c>
      <c r="E39" t="s">
        <v>6</v>
      </c>
      <c r="F39">
        <v>68</v>
      </c>
      <c r="G39" t="s">
        <v>7</v>
      </c>
      <c r="H39" t="s">
        <v>2</v>
      </c>
      <c r="I39" t="s">
        <v>5</v>
      </c>
      <c r="K39">
        <v>21</v>
      </c>
      <c r="L39" t="s">
        <v>499</v>
      </c>
      <c r="M39" t="s">
        <v>492</v>
      </c>
    </row>
    <row r="40" spans="1:13" x14ac:dyDescent="0.35">
      <c r="A40" t="s">
        <v>75</v>
      </c>
      <c r="B40" s="1">
        <v>45345</v>
      </c>
      <c r="C40" s="3">
        <v>0.67152777777777772</v>
      </c>
      <c r="D40" t="s">
        <v>76</v>
      </c>
      <c r="E40" t="s">
        <v>6</v>
      </c>
      <c r="F40">
        <v>9</v>
      </c>
      <c r="G40" t="s">
        <v>7</v>
      </c>
      <c r="H40" t="s">
        <v>2</v>
      </c>
      <c r="I40" t="s">
        <v>5</v>
      </c>
      <c r="K40">
        <v>48</v>
      </c>
      <c r="L40" t="s">
        <v>498</v>
      </c>
      <c r="M40" t="s">
        <v>494</v>
      </c>
    </row>
    <row r="41" spans="1:13" x14ac:dyDescent="0.35">
      <c r="A41" t="s">
        <v>77</v>
      </c>
      <c r="B41" s="1">
        <v>45326</v>
      </c>
      <c r="C41" s="3">
        <v>0.88680555555555551</v>
      </c>
      <c r="D41" t="s">
        <v>78</v>
      </c>
      <c r="E41" t="s">
        <v>6</v>
      </c>
      <c r="F41">
        <v>34</v>
      </c>
      <c r="G41" t="s">
        <v>7</v>
      </c>
      <c r="H41" t="s">
        <v>2</v>
      </c>
      <c r="I41" t="s">
        <v>5</v>
      </c>
      <c r="K41">
        <v>45</v>
      </c>
      <c r="L41" t="s">
        <v>496</v>
      </c>
      <c r="M41" t="s">
        <v>494</v>
      </c>
    </row>
    <row r="42" spans="1:13" x14ac:dyDescent="0.35">
      <c r="A42" t="s">
        <v>79</v>
      </c>
      <c r="B42" s="1">
        <v>45344</v>
      </c>
      <c r="C42" s="3">
        <v>0.57708333333333328</v>
      </c>
      <c r="D42" t="s">
        <v>80</v>
      </c>
      <c r="E42" t="s">
        <v>6</v>
      </c>
      <c r="F42">
        <v>13</v>
      </c>
      <c r="G42" t="s">
        <v>7</v>
      </c>
      <c r="H42" t="s">
        <v>2</v>
      </c>
      <c r="I42" t="s">
        <v>5</v>
      </c>
      <c r="K42">
        <v>45</v>
      </c>
      <c r="L42" t="s">
        <v>497</v>
      </c>
      <c r="M42" t="s">
        <v>494</v>
      </c>
    </row>
    <row r="43" spans="1:13" x14ac:dyDescent="0.35">
      <c r="A43" t="s">
        <v>81</v>
      </c>
      <c r="B43" s="1">
        <v>45333</v>
      </c>
      <c r="C43" s="3">
        <v>0.83263888888888893</v>
      </c>
      <c r="D43" t="s">
        <v>82</v>
      </c>
      <c r="E43" t="s">
        <v>6</v>
      </c>
      <c r="F43">
        <v>8</v>
      </c>
      <c r="G43" t="s">
        <v>7</v>
      </c>
      <c r="H43" t="s">
        <v>2</v>
      </c>
      <c r="I43" t="s">
        <v>5</v>
      </c>
      <c r="K43">
        <v>47</v>
      </c>
      <c r="L43" t="s">
        <v>498</v>
      </c>
      <c r="M43" t="s">
        <v>494</v>
      </c>
    </row>
    <row r="44" spans="1:13" x14ac:dyDescent="0.35">
      <c r="A44" t="s">
        <v>83</v>
      </c>
      <c r="B44" s="1">
        <v>45344</v>
      </c>
      <c r="C44" s="3">
        <v>0.69444444444444442</v>
      </c>
      <c r="D44" t="s">
        <v>84</v>
      </c>
      <c r="E44" t="s">
        <v>6</v>
      </c>
      <c r="F44">
        <v>45</v>
      </c>
      <c r="G44" t="s">
        <v>7</v>
      </c>
      <c r="H44" t="s">
        <v>2</v>
      </c>
      <c r="I44" t="s">
        <v>5</v>
      </c>
      <c r="K44">
        <v>21</v>
      </c>
      <c r="L44" t="s">
        <v>500</v>
      </c>
      <c r="M44" t="s">
        <v>492</v>
      </c>
    </row>
    <row r="45" spans="1:13" x14ac:dyDescent="0.35">
      <c r="A45" t="s">
        <v>33</v>
      </c>
      <c r="B45" s="1">
        <v>45343</v>
      </c>
      <c r="C45" s="3">
        <v>0.31111111111111112</v>
      </c>
      <c r="D45" t="s">
        <v>34</v>
      </c>
      <c r="E45" t="s">
        <v>0</v>
      </c>
      <c r="F45">
        <v>59</v>
      </c>
      <c r="G45" t="s">
        <v>7</v>
      </c>
      <c r="H45" t="s">
        <v>2</v>
      </c>
      <c r="I45" t="s">
        <v>5</v>
      </c>
      <c r="K45">
        <v>50</v>
      </c>
      <c r="L45" t="s">
        <v>495</v>
      </c>
      <c r="M45" t="s">
        <v>494</v>
      </c>
    </row>
    <row r="46" spans="1:13" x14ac:dyDescent="0.35">
      <c r="A46" t="s">
        <v>259</v>
      </c>
      <c r="B46" s="1">
        <v>45326</v>
      </c>
      <c r="C46" s="3">
        <v>0.83333333333333337</v>
      </c>
      <c r="D46" t="s">
        <v>260</v>
      </c>
      <c r="E46" t="s">
        <v>0</v>
      </c>
      <c r="F46">
        <v>14</v>
      </c>
      <c r="G46" t="s">
        <v>7</v>
      </c>
      <c r="H46" t="s">
        <v>2</v>
      </c>
      <c r="I46" t="s">
        <v>5</v>
      </c>
      <c r="K46">
        <v>34</v>
      </c>
      <c r="L46" t="s">
        <v>497</v>
      </c>
      <c r="M46" t="s">
        <v>494</v>
      </c>
    </row>
    <row r="47" spans="1:13" x14ac:dyDescent="0.35">
      <c r="A47" t="s">
        <v>261</v>
      </c>
      <c r="B47" s="1">
        <v>45340</v>
      </c>
      <c r="C47" s="3">
        <v>0.95625000000000004</v>
      </c>
      <c r="D47" t="s">
        <v>262</v>
      </c>
      <c r="E47" t="s">
        <v>0</v>
      </c>
      <c r="F47">
        <v>70</v>
      </c>
      <c r="G47" t="s">
        <v>7</v>
      </c>
      <c r="H47" t="s">
        <v>2</v>
      </c>
      <c r="I47" t="s">
        <v>5</v>
      </c>
      <c r="K47">
        <v>57</v>
      </c>
      <c r="L47" t="s">
        <v>493</v>
      </c>
      <c r="M47" t="s">
        <v>494</v>
      </c>
    </row>
    <row r="48" spans="1:13" x14ac:dyDescent="0.35">
      <c r="A48" t="s">
        <v>263</v>
      </c>
      <c r="B48" s="1">
        <v>45337</v>
      </c>
      <c r="C48" s="3">
        <v>0.12916666666666668</v>
      </c>
      <c r="D48" t="s">
        <v>264</v>
      </c>
      <c r="E48" t="s">
        <v>0</v>
      </c>
      <c r="F48">
        <v>66</v>
      </c>
      <c r="G48" t="s">
        <v>7</v>
      </c>
      <c r="H48" t="s">
        <v>2</v>
      </c>
      <c r="I48" t="s">
        <v>5</v>
      </c>
      <c r="K48">
        <v>18</v>
      </c>
      <c r="L48" t="s">
        <v>499</v>
      </c>
      <c r="M48" t="s">
        <v>492</v>
      </c>
    </row>
    <row r="49" spans="1:13" x14ac:dyDescent="0.35">
      <c r="A49" t="s">
        <v>265</v>
      </c>
      <c r="B49" s="1">
        <v>45343</v>
      </c>
      <c r="C49" s="3">
        <v>0.57499999999999996</v>
      </c>
      <c r="D49" t="s">
        <v>266</v>
      </c>
      <c r="E49" t="s">
        <v>0</v>
      </c>
      <c r="F49">
        <v>25</v>
      </c>
      <c r="G49" t="s">
        <v>7</v>
      </c>
      <c r="H49" t="s">
        <v>2</v>
      </c>
      <c r="I49" t="s">
        <v>5</v>
      </c>
      <c r="K49">
        <v>36</v>
      </c>
      <c r="L49" t="s">
        <v>491</v>
      </c>
      <c r="M49" t="s">
        <v>494</v>
      </c>
    </row>
    <row r="50" spans="1:13" x14ac:dyDescent="0.35">
      <c r="A50" t="s">
        <v>267</v>
      </c>
      <c r="B50" s="1">
        <v>45337</v>
      </c>
      <c r="C50" s="3">
        <v>0.57916666666666672</v>
      </c>
      <c r="D50" t="s">
        <v>268</v>
      </c>
      <c r="E50" t="s">
        <v>0</v>
      </c>
      <c r="F50">
        <v>35</v>
      </c>
      <c r="G50" t="s">
        <v>7</v>
      </c>
      <c r="H50" t="s">
        <v>2</v>
      </c>
      <c r="I50" t="s">
        <v>5</v>
      </c>
      <c r="K50">
        <v>55</v>
      </c>
      <c r="L50" t="s">
        <v>496</v>
      </c>
      <c r="M50" t="s">
        <v>494</v>
      </c>
    </row>
    <row r="51" spans="1:13" x14ac:dyDescent="0.35">
      <c r="A51" t="s">
        <v>269</v>
      </c>
      <c r="B51" s="1">
        <v>45347</v>
      </c>
      <c r="C51" s="3">
        <v>0.43125000000000002</v>
      </c>
      <c r="D51" t="s">
        <v>270</v>
      </c>
      <c r="E51" t="s">
        <v>0</v>
      </c>
      <c r="F51">
        <v>53</v>
      </c>
      <c r="G51" t="s">
        <v>7</v>
      </c>
      <c r="H51" t="s">
        <v>2</v>
      </c>
      <c r="I51" t="s">
        <v>5</v>
      </c>
      <c r="K51">
        <v>16</v>
      </c>
      <c r="L51" t="s">
        <v>495</v>
      </c>
      <c r="M51" t="s">
        <v>492</v>
      </c>
    </row>
    <row r="52" spans="1:13" x14ac:dyDescent="0.35">
      <c r="A52" t="s">
        <v>271</v>
      </c>
      <c r="B52" s="1">
        <v>45335</v>
      </c>
      <c r="C52" s="3">
        <v>0.52083333333333337</v>
      </c>
      <c r="D52" t="s">
        <v>272</v>
      </c>
      <c r="E52" t="s">
        <v>0</v>
      </c>
      <c r="F52">
        <v>70</v>
      </c>
      <c r="G52" t="s">
        <v>7</v>
      </c>
      <c r="H52" t="s">
        <v>2</v>
      </c>
      <c r="I52" t="s">
        <v>5</v>
      </c>
      <c r="K52">
        <v>52</v>
      </c>
      <c r="L52" t="s">
        <v>493</v>
      </c>
      <c r="M52" t="s">
        <v>494</v>
      </c>
    </row>
    <row r="53" spans="1:13" x14ac:dyDescent="0.35">
      <c r="A53" t="s">
        <v>273</v>
      </c>
      <c r="B53" s="1">
        <v>45334</v>
      </c>
      <c r="C53" s="3">
        <v>3.0555555555555555E-2</v>
      </c>
      <c r="D53" t="s">
        <v>274</v>
      </c>
      <c r="E53" t="s">
        <v>0</v>
      </c>
      <c r="F53">
        <v>38</v>
      </c>
      <c r="G53" t="s">
        <v>7</v>
      </c>
      <c r="H53" t="s">
        <v>2</v>
      </c>
      <c r="I53" t="s">
        <v>5</v>
      </c>
      <c r="K53">
        <v>21</v>
      </c>
      <c r="L53" t="s">
        <v>496</v>
      </c>
      <c r="M53" t="s">
        <v>492</v>
      </c>
    </row>
    <row r="54" spans="1:13" x14ac:dyDescent="0.35">
      <c r="A54" t="s">
        <v>275</v>
      </c>
      <c r="B54" s="1">
        <v>45329</v>
      </c>
      <c r="C54" s="3">
        <v>6.0416666666666667E-2</v>
      </c>
      <c r="D54" t="s">
        <v>276</v>
      </c>
      <c r="E54" t="s">
        <v>0</v>
      </c>
      <c r="F54">
        <v>76</v>
      </c>
      <c r="G54" t="s">
        <v>7</v>
      </c>
      <c r="H54" t="s">
        <v>2</v>
      </c>
      <c r="I54" t="s">
        <v>5</v>
      </c>
      <c r="K54">
        <v>40</v>
      </c>
      <c r="L54" t="s">
        <v>493</v>
      </c>
      <c r="M54" t="s">
        <v>494</v>
      </c>
    </row>
    <row r="55" spans="1:13" x14ac:dyDescent="0.35">
      <c r="A55" t="s">
        <v>277</v>
      </c>
      <c r="B55" s="1">
        <v>45339</v>
      </c>
      <c r="C55" s="3">
        <v>0.24722222222222223</v>
      </c>
      <c r="D55" t="s">
        <v>278</v>
      </c>
      <c r="E55" t="s">
        <v>0</v>
      </c>
      <c r="F55">
        <v>35</v>
      </c>
      <c r="G55" t="s">
        <v>7</v>
      </c>
      <c r="H55" t="s">
        <v>2</v>
      </c>
      <c r="I55" t="s">
        <v>5</v>
      </c>
      <c r="K55">
        <v>45</v>
      </c>
      <c r="L55" t="s">
        <v>496</v>
      </c>
      <c r="M55" t="s">
        <v>494</v>
      </c>
    </row>
    <row r="56" spans="1:13" x14ac:dyDescent="0.35">
      <c r="A56" t="s">
        <v>279</v>
      </c>
      <c r="B56" s="1">
        <v>45341</v>
      </c>
      <c r="C56" s="3">
        <v>0.22083333333333333</v>
      </c>
      <c r="D56" t="s">
        <v>280</v>
      </c>
      <c r="E56" t="s">
        <v>0</v>
      </c>
      <c r="F56">
        <v>14</v>
      </c>
      <c r="G56" t="s">
        <v>7</v>
      </c>
      <c r="H56" t="s">
        <v>2</v>
      </c>
      <c r="I56" t="s">
        <v>5</v>
      </c>
      <c r="K56">
        <v>34</v>
      </c>
      <c r="L56" t="s">
        <v>497</v>
      </c>
      <c r="M56" t="s">
        <v>494</v>
      </c>
    </row>
    <row r="57" spans="1:13" x14ac:dyDescent="0.35">
      <c r="A57" t="s">
        <v>281</v>
      </c>
      <c r="B57" s="1">
        <v>45340</v>
      </c>
      <c r="C57" s="3">
        <v>0.6020833333333333</v>
      </c>
      <c r="D57" t="s">
        <v>282</v>
      </c>
      <c r="E57" t="s">
        <v>0</v>
      </c>
      <c r="F57">
        <v>54</v>
      </c>
      <c r="G57" t="s">
        <v>7</v>
      </c>
      <c r="H57" t="s">
        <v>2</v>
      </c>
      <c r="I57" t="s">
        <v>5</v>
      </c>
      <c r="K57">
        <v>59</v>
      </c>
      <c r="L57" t="s">
        <v>495</v>
      </c>
      <c r="M57" t="s">
        <v>494</v>
      </c>
    </row>
    <row r="58" spans="1:13" x14ac:dyDescent="0.35">
      <c r="A58" t="s">
        <v>283</v>
      </c>
      <c r="B58" s="1">
        <v>45350</v>
      </c>
      <c r="C58" s="3">
        <v>0.33124999999999999</v>
      </c>
      <c r="D58" t="s">
        <v>284</v>
      </c>
      <c r="E58" t="s">
        <v>0</v>
      </c>
      <c r="F58">
        <v>54</v>
      </c>
      <c r="G58" t="s">
        <v>7</v>
      </c>
      <c r="H58" t="s">
        <v>2</v>
      </c>
      <c r="I58" t="s">
        <v>5</v>
      </c>
      <c r="K58">
        <v>57</v>
      </c>
      <c r="L58" t="s">
        <v>495</v>
      </c>
      <c r="M58" t="s">
        <v>494</v>
      </c>
    </row>
    <row r="59" spans="1:13" x14ac:dyDescent="0.35">
      <c r="A59" t="s">
        <v>29</v>
      </c>
      <c r="B59" s="1">
        <v>45346</v>
      </c>
      <c r="C59" s="3">
        <v>0.34930555555555554</v>
      </c>
      <c r="D59" t="s">
        <v>30</v>
      </c>
      <c r="E59" t="s">
        <v>6</v>
      </c>
      <c r="F59">
        <v>56</v>
      </c>
      <c r="G59" t="s">
        <v>13</v>
      </c>
      <c r="H59" t="s">
        <v>2</v>
      </c>
      <c r="I59" t="s">
        <v>5</v>
      </c>
      <c r="K59">
        <v>54</v>
      </c>
      <c r="L59" t="s">
        <v>495</v>
      </c>
      <c r="M59" t="s">
        <v>494</v>
      </c>
    </row>
    <row r="60" spans="1:13" x14ac:dyDescent="0.35">
      <c r="A60" t="s">
        <v>59</v>
      </c>
      <c r="B60" s="1">
        <v>45347</v>
      </c>
      <c r="C60" s="3">
        <v>0.42083333333333334</v>
      </c>
      <c r="D60" t="s">
        <v>60</v>
      </c>
      <c r="E60" t="s">
        <v>6</v>
      </c>
      <c r="F60">
        <v>66</v>
      </c>
      <c r="G60" t="s">
        <v>13</v>
      </c>
      <c r="H60" t="s">
        <v>2</v>
      </c>
      <c r="I60" t="s">
        <v>5</v>
      </c>
      <c r="K60">
        <v>47</v>
      </c>
      <c r="L60" t="s">
        <v>499</v>
      </c>
      <c r="M60" t="s">
        <v>494</v>
      </c>
    </row>
    <row r="61" spans="1:13" x14ac:dyDescent="0.35">
      <c r="A61" t="s">
        <v>153</v>
      </c>
      <c r="B61" s="1">
        <v>45325</v>
      </c>
      <c r="C61" s="3">
        <v>0.70972222222222225</v>
      </c>
      <c r="D61" t="s">
        <v>154</v>
      </c>
      <c r="E61" t="s">
        <v>6</v>
      </c>
      <c r="F61">
        <v>26</v>
      </c>
      <c r="G61" t="s">
        <v>13</v>
      </c>
      <c r="H61" t="s">
        <v>2</v>
      </c>
      <c r="I61" t="s">
        <v>5</v>
      </c>
      <c r="K61">
        <v>16</v>
      </c>
      <c r="L61" t="s">
        <v>491</v>
      </c>
      <c r="M61" t="s">
        <v>492</v>
      </c>
    </row>
    <row r="62" spans="1:13" x14ac:dyDescent="0.35">
      <c r="A62" t="s">
        <v>155</v>
      </c>
      <c r="B62" s="1">
        <v>45351</v>
      </c>
      <c r="C62" s="3">
        <v>0.21041666666666667</v>
      </c>
      <c r="D62" t="s">
        <v>156</v>
      </c>
      <c r="E62" t="s">
        <v>6</v>
      </c>
      <c r="F62">
        <v>18</v>
      </c>
      <c r="G62" t="s">
        <v>13</v>
      </c>
      <c r="H62" t="s">
        <v>2</v>
      </c>
      <c r="I62" t="s">
        <v>5</v>
      </c>
      <c r="K62">
        <v>41</v>
      </c>
      <c r="L62" t="s">
        <v>497</v>
      </c>
      <c r="M62" t="s">
        <v>494</v>
      </c>
    </row>
    <row r="63" spans="1:13" x14ac:dyDescent="0.35">
      <c r="A63" t="s">
        <v>157</v>
      </c>
      <c r="B63" s="1">
        <v>45338</v>
      </c>
      <c r="C63" s="3">
        <v>0.83819444444444446</v>
      </c>
      <c r="D63" t="s">
        <v>158</v>
      </c>
      <c r="E63" t="s">
        <v>6</v>
      </c>
      <c r="F63">
        <v>28</v>
      </c>
      <c r="G63" t="s">
        <v>13</v>
      </c>
      <c r="H63" t="s">
        <v>2</v>
      </c>
      <c r="I63" t="s">
        <v>5</v>
      </c>
      <c r="K63">
        <v>19</v>
      </c>
      <c r="L63" t="s">
        <v>491</v>
      </c>
      <c r="M63" t="s">
        <v>492</v>
      </c>
    </row>
    <row r="64" spans="1:13" x14ac:dyDescent="0.35">
      <c r="A64" t="s">
        <v>159</v>
      </c>
      <c r="B64" s="1">
        <v>45335</v>
      </c>
      <c r="C64" s="3">
        <v>0.40069444444444446</v>
      </c>
      <c r="D64" t="s">
        <v>160</v>
      </c>
      <c r="E64" t="s">
        <v>6</v>
      </c>
      <c r="F64">
        <v>43</v>
      </c>
      <c r="G64" t="s">
        <v>13</v>
      </c>
      <c r="H64" t="s">
        <v>2</v>
      </c>
      <c r="I64" t="s">
        <v>5</v>
      </c>
      <c r="K64">
        <v>19</v>
      </c>
      <c r="L64" t="s">
        <v>500</v>
      </c>
      <c r="M64" t="s">
        <v>492</v>
      </c>
    </row>
    <row r="65" spans="1:13" x14ac:dyDescent="0.35">
      <c r="A65" t="s">
        <v>161</v>
      </c>
      <c r="B65" s="1">
        <v>45350</v>
      </c>
      <c r="C65" s="3">
        <v>0.86875000000000002</v>
      </c>
      <c r="D65" t="s">
        <v>162</v>
      </c>
      <c r="E65" t="s">
        <v>6</v>
      </c>
      <c r="F65">
        <v>37</v>
      </c>
      <c r="G65" t="s">
        <v>13</v>
      </c>
      <c r="H65" t="s">
        <v>2</v>
      </c>
      <c r="I65" t="s">
        <v>5</v>
      </c>
      <c r="K65">
        <v>39</v>
      </c>
      <c r="L65" t="s">
        <v>496</v>
      </c>
      <c r="M65" t="s">
        <v>494</v>
      </c>
    </row>
    <row r="66" spans="1:13" x14ac:dyDescent="0.35">
      <c r="A66" t="s">
        <v>163</v>
      </c>
      <c r="B66" s="1">
        <v>45328</v>
      </c>
      <c r="C66" s="3">
        <v>0.56597222222222221</v>
      </c>
      <c r="D66" t="s">
        <v>164</v>
      </c>
      <c r="E66" t="s">
        <v>6</v>
      </c>
      <c r="F66">
        <v>70</v>
      </c>
      <c r="G66" t="s">
        <v>13</v>
      </c>
      <c r="H66" t="s">
        <v>2</v>
      </c>
      <c r="I66" t="s">
        <v>5</v>
      </c>
      <c r="K66">
        <v>32</v>
      </c>
      <c r="L66" t="s">
        <v>493</v>
      </c>
      <c r="M66" t="s">
        <v>494</v>
      </c>
    </row>
    <row r="67" spans="1:13" x14ac:dyDescent="0.35">
      <c r="A67" t="s">
        <v>363</v>
      </c>
      <c r="B67" s="1">
        <v>45332</v>
      </c>
      <c r="C67" s="3">
        <v>0.63541666666666663</v>
      </c>
      <c r="D67" t="s">
        <v>364</v>
      </c>
      <c r="E67" t="s">
        <v>0</v>
      </c>
      <c r="F67">
        <v>57</v>
      </c>
      <c r="G67" t="s">
        <v>13</v>
      </c>
      <c r="H67" t="s">
        <v>2</v>
      </c>
      <c r="I67" t="s">
        <v>5</v>
      </c>
      <c r="K67">
        <v>39</v>
      </c>
      <c r="L67" t="s">
        <v>495</v>
      </c>
      <c r="M67" t="s">
        <v>494</v>
      </c>
    </row>
    <row r="68" spans="1:13" x14ac:dyDescent="0.35">
      <c r="A68" t="s">
        <v>365</v>
      </c>
      <c r="B68" s="1">
        <v>45349</v>
      </c>
      <c r="C68" s="3">
        <v>0.5854166666666667</v>
      </c>
      <c r="D68" t="s">
        <v>366</v>
      </c>
      <c r="E68" t="s">
        <v>0</v>
      </c>
      <c r="F68">
        <v>32</v>
      </c>
      <c r="G68" t="s">
        <v>13</v>
      </c>
      <c r="H68" t="s">
        <v>2</v>
      </c>
      <c r="I68" t="s">
        <v>5</v>
      </c>
      <c r="K68">
        <v>18</v>
      </c>
      <c r="L68" t="s">
        <v>496</v>
      </c>
      <c r="M68" t="s">
        <v>492</v>
      </c>
    </row>
    <row r="69" spans="1:13" x14ac:dyDescent="0.35">
      <c r="A69" t="s">
        <v>367</v>
      </c>
      <c r="B69" s="1">
        <v>45342</v>
      </c>
      <c r="C69" s="3">
        <v>0.25555555555555554</v>
      </c>
      <c r="D69" t="s">
        <v>368</v>
      </c>
      <c r="E69" t="s">
        <v>0</v>
      </c>
      <c r="F69">
        <v>29</v>
      </c>
      <c r="G69" t="s">
        <v>13</v>
      </c>
      <c r="H69" t="s">
        <v>2</v>
      </c>
      <c r="I69" t="s">
        <v>5</v>
      </c>
      <c r="K69">
        <v>20</v>
      </c>
      <c r="L69" t="s">
        <v>491</v>
      </c>
      <c r="M69" t="s">
        <v>492</v>
      </c>
    </row>
    <row r="70" spans="1:13" x14ac:dyDescent="0.35">
      <c r="A70" t="s">
        <v>369</v>
      </c>
      <c r="B70" s="1">
        <v>45346</v>
      </c>
      <c r="C70" s="3">
        <v>0.3347222222222222</v>
      </c>
      <c r="D70" t="s">
        <v>370</v>
      </c>
      <c r="E70" t="s">
        <v>0</v>
      </c>
      <c r="F70">
        <v>23</v>
      </c>
      <c r="G70" t="s">
        <v>13</v>
      </c>
      <c r="H70" t="s">
        <v>2</v>
      </c>
      <c r="I70" t="s">
        <v>5</v>
      </c>
      <c r="K70">
        <v>50</v>
      </c>
      <c r="L70" t="s">
        <v>491</v>
      </c>
      <c r="M70" t="s">
        <v>494</v>
      </c>
    </row>
    <row r="71" spans="1:13" x14ac:dyDescent="0.35">
      <c r="A71" t="s">
        <v>371</v>
      </c>
      <c r="B71" s="1">
        <v>45346</v>
      </c>
      <c r="C71" s="3">
        <v>0.73541666666666672</v>
      </c>
      <c r="D71" t="s">
        <v>372</v>
      </c>
      <c r="E71" t="s">
        <v>0</v>
      </c>
      <c r="F71">
        <v>51</v>
      </c>
      <c r="G71" t="s">
        <v>13</v>
      </c>
      <c r="H71" t="s">
        <v>2</v>
      </c>
      <c r="I71" t="s">
        <v>5</v>
      </c>
      <c r="K71">
        <v>56</v>
      </c>
      <c r="L71" t="s">
        <v>495</v>
      </c>
      <c r="M71" t="s">
        <v>494</v>
      </c>
    </row>
    <row r="72" spans="1:13" x14ac:dyDescent="0.35">
      <c r="A72" t="s">
        <v>373</v>
      </c>
      <c r="B72" s="1">
        <v>45348</v>
      </c>
      <c r="C72" s="3">
        <v>5.2083333333333336E-2</v>
      </c>
      <c r="D72" t="s">
        <v>374</v>
      </c>
      <c r="E72" t="s">
        <v>0</v>
      </c>
      <c r="F72">
        <v>39</v>
      </c>
      <c r="G72" t="s">
        <v>13</v>
      </c>
      <c r="H72" t="s">
        <v>2</v>
      </c>
      <c r="I72" t="s">
        <v>5</v>
      </c>
      <c r="K72">
        <v>15</v>
      </c>
      <c r="L72" t="s">
        <v>496</v>
      </c>
      <c r="M72" t="s">
        <v>492</v>
      </c>
    </row>
    <row r="73" spans="1:13" x14ac:dyDescent="0.35">
      <c r="A73" t="s">
        <v>375</v>
      </c>
      <c r="B73" s="1">
        <v>45345</v>
      </c>
      <c r="C73" s="3">
        <v>0.92569444444444449</v>
      </c>
      <c r="D73" t="s">
        <v>376</v>
      </c>
      <c r="E73" t="s">
        <v>0</v>
      </c>
      <c r="F73">
        <v>70</v>
      </c>
      <c r="G73" t="s">
        <v>13</v>
      </c>
      <c r="H73" t="s">
        <v>2</v>
      </c>
      <c r="I73" t="s">
        <v>5</v>
      </c>
      <c r="K73">
        <v>19</v>
      </c>
      <c r="L73" t="s">
        <v>493</v>
      </c>
      <c r="M73" t="s">
        <v>492</v>
      </c>
    </row>
    <row r="74" spans="1:13" x14ac:dyDescent="0.35">
      <c r="A74" t="s">
        <v>377</v>
      </c>
      <c r="B74" s="1">
        <v>45351</v>
      </c>
      <c r="C74" s="3">
        <v>0.59930555555555554</v>
      </c>
      <c r="D74" t="s">
        <v>378</v>
      </c>
      <c r="E74" t="s">
        <v>0</v>
      </c>
      <c r="F74">
        <v>62</v>
      </c>
      <c r="G74" t="s">
        <v>13</v>
      </c>
      <c r="H74" t="s">
        <v>2</v>
      </c>
      <c r="I74" t="s">
        <v>5</v>
      </c>
      <c r="K74">
        <v>56</v>
      </c>
      <c r="L74" t="s">
        <v>499</v>
      </c>
      <c r="M74" t="s">
        <v>494</v>
      </c>
    </row>
    <row r="75" spans="1:13" x14ac:dyDescent="0.35">
      <c r="A75" t="s">
        <v>379</v>
      </c>
      <c r="B75" s="1">
        <v>45348</v>
      </c>
      <c r="C75" s="3">
        <v>0.58194444444444449</v>
      </c>
      <c r="D75" t="s">
        <v>380</v>
      </c>
      <c r="E75" t="s">
        <v>0</v>
      </c>
      <c r="F75">
        <v>57</v>
      </c>
      <c r="G75" t="s">
        <v>13</v>
      </c>
      <c r="H75" t="s">
        <v>2</v>
      </c>
      <c r="I75" t="s">
        <v>5</v>
      </c>
      <c r="K75">
        <v>34</v>
      </c>
      <c r="L75" t="s">
        <v>495</v>
      </c>
      <c r="M75" t="s">
        <v>494</v>
      </c>
    </row>
    <row r="76" spans="1:13" x14ac:dyDescent="0.35">
      <c r="A76" t="s">
        <v>381</v>
      </c>
      <c r="B76" s="1">
        <v>45348</v>
      </c>
      <c r="C76" s="3">
        <v>0.49652777777777779</v>
      </c>
      <c r="D76" t="s">
        <v>382</v>
      </c>
      <c r="E76" t="s">
        <v>0</v>
      </c>
      <c r="F76">
        <v>41</v>
      </c>
      <c r="G76" t="s">
        <v>13</v>
      </c>
      <c r="H76" t="s">
        <v>2</v>
      </c>
      <c r="I76" t="s">
        <v>5</v>
      </c>
      <c r="K76">
        <v>60</v>
      </c>
      <c r="L76" t="s">
        <v>500</v>
      </c>
      <c r="M76" t="s">
        <v>494</v>
      </c>
    </row>
    <row r="77" spans="1:13" x14ac:dyDescent="0.35">
      <c r="A77" t="s">
        <v>383</v>
      </c>
      <c r="B77" s="1">
        <v>45328</v>
      </c>
      <c r="C77" s="3">
        <v>0.30694444444444446</v>
      </c>
      <c r="D77" t="s">
        <v>384</v>
      </c>
      <c r="E77" t="s">
        <v>0</v>
      </c>
      <c r="F77">
        <v>31</v>
      </c>
      <c r="G77" t="s">
        <v>13</v>
      </c>
      <c r="H77" t="s">
        <v>2</v>
      </c>
      <c r="I77" t="s">
        <v>5</v>
      </c>
      <c r="K77">
        <v>10</v>
      </c>
      <c r="L77" t="s">
        <v>496</v>
      </c>
      <c r="M77" t="s">
        <v>492</v>
      </c>
    </row>
    <row r="78" spans="1:13" x14ac:dyDescent="0.35">
      <c r="A78" t="s">
        <v>317</v>
      </c>
      <c r="B78" s="1">
        <v>45323</v>
      </c>
      <c r="C78" s="3">
        <v>0.22916666666666666</v>
      </c>
      <c r="D78" t="s">
        <v>318</v>
      </c>
      <c r="E78" t="s">
        <v>0</v>
      </c>
      <c r="F78">
        <v>54</v>
      </c>
      <c r="G78" t="s">
        <v>16</v>
      </c>
      <c r="H78" t="s">
        <v>2</v>
      </c>
      <c r="I78" t="s">
        <v>5</v>
      </c>
      <c r="K78">
        <v>60</v>
      </c>
      <c r="L78" t="s">
        <v>495</v>
      </c>
      <c r="M78" t="s">
        <v>494</v>
      </c>
    </row>
    <row r="79" spans="1:13" x14ac:dyDescent="0.35">
      <c r="A79" t="s">
        <v>319</v>
      </c>
      <c r="B79" s="1">
        <v>45333</v>
      </c>
      <c r="C79" s="3">
        <v>0.24305555555555555</v>
      </c>
      <c r="D79" t="s">
        <v>320</v>
      </c>
      <c r="E79" t="s">
        <v>0</v>
      </c>
      <c r="F79">
        <v>74</v>
      </c>
      <c r="G79" t="s">
        <v>16</v>
      </c>
      <c r="H79" t="s">
        <v>2</v>
      </c>
      <c r="I79" t="s">
        <v>5</v>
      </c>
      <c r="K79">
        <v>49</v>
      </c>
      <c r="L79" t="s">
        <v>493</v>
      </c>
      <c r="M79" t="s">
        <v>494</v>
      </c>
    </row>
    <row r="80" spans="1:13" x14ac:dyDescent="0.35">
      <c r="A80" t="s">
        <v>321</v>
      </c>
      <c r="B80" s="1">
        <v>45328</v>
      </c>
      <c r="C80" s="3">
        <v>0.46805555555555556</v>
      </c>
      <c r="D80" t="s">
        <v>322</v>
      </c>
      <c r="E80" t="s">
        <v>0</v>
      </c>
      <c r="F80">
        <v>59</v>
      </c>
      <c r="G80" t="s">
        <v>16</v>
      </c>
      <c r="H80" t="s">
        <v>2</v>
      </c>
      <c r="I80" t="s">
        <v>5</v>
      </c>
      <c r="K80">
        <v>16</v>
      </c>
      <c r="L80" t="s">
        <v>495</v>
      </c>
      <c r="M80" t="s">
        <v>492</v>
      </c>
    </row>
    <row r="81" spans="1:13" x14ac:dyDescent="0.35">
      <c r="A81" t="s">
        <v>119</v>
      </c>
      <c r="B81" s="1">
        <v>45351</v>
      </c>
      <c r="C81" s="3">
        <v>0.28125</v>
      </c>
      <c r="D81" t="s">
        <v>120</v>
      </c>
      <c r="E81" t="s">
        <v>6</v>
      </c>
      <c r="F81">
        <v>4</v>
      </c>
      <c r="G81" t="s">
        <v>16</v>
      </c>
      <c r="H81" t="s">
        <v>2</v>
      </c>
      <c r="I81" t="s">
        <v>5</v>
      </c>
      <c r="K81">
        <v>40</v>
      </c>
      <c r="L81" t="s">
        <v>498</v>
      </c>
      <c r="M81" t="s">
        <v>494</v>
      </c>
    </row>
    <row r="82" spans="1:13" x14ac:dyDescent="0.35">
      <c r="A82" t="s">
        <v>121</v>
      </c>
      <c r="B82" s="1">
        <v>45325</v>
      </c>
      <c r="C82" s="3">
        <v>0.44305555555555554</v>
      </c>
      <c r="D82" t="s">
        <v>122</v>
      </c>
      <c r="E82" t="s">
        <v>6</v>
      </c>
      <c r="F82">
        <v>27</v>
      </c>
      <c r="G82" t="s">
        <v>16</v>
      </c>
      <c r="H82" t="s">
        <v>2</v>
      </c>
      <c r="I82" t="s">
        <v>5</v>
      </c>
      <c r="K82">
        <v>33</v>
      </c>
      <c r="L82" t="s">
        <v>491</v>
      </c>
      <c r="M82" t="s">
        <v>494</v>
      </c>
    </row>
    <row r="83" spans="1:13" x14ac:dyDescent="0.35">
      <c r="A83" t="s">
        <v>123</v>
      </c>
      <c r="B83" s="1">
        <v>45325</v>
      </c>
      <c r="C83" s="3">
        <v>0.6743055555555556</v>
      </c>
      <c r="D83" t="s">
        <v>124</v>
      </c>
      <c r="E83" t="s">
        <v>6</v>
      </c>
      <c r="F83">
        <v>42</v>
      </c>
      <c r="G83" t="s">
        <v>16</v>
      </c>
      <c r="H83" t="s">
        <v>2</v>
      </c>
      <c r="I83" t="s">
        <v>5</v>
      </c>
      <c r="K83">
        <v>45</v>
      </c>
      <c r="L83" t="s">
        <v>500</v>
      </c>
      <c r="M83" t="s">
        <v>494</v>
      </c>
    </row>
    <row r="84" spans="1:13" x14ac:dyDescent="0.35">
      <c r="A84" t="s">
        <v>21</v>
      </c>
      <c r="B84" s="1">
        <v>45330</v>
      </c>
      <c r="C84" s="3">
        <v>0.72499999999999998</v>
      </c>
      <c r="D84" t="s">
        <v>22</v>
      </c>
      <c r="E84" t="s">
        <v>6</v>
      </c>
      <c r="F84">
        <v>47</v>
      </c>
      <c r="G84" t="s">
        <v>12</v>
      </c>
      <c r="H84" t="s">
        <v>2</v>
      </c>
      <c r="I84" t="s">
        <v>5</v>
      </c>
      <c r="K84">
        <v>29</v>
      </c>
      <c r="L84" t="s">
        <v>500</v>
      </c>
      <c r="M84" t="s">
        <v>492</v>
      </c>
    </row>
    <row r="85" spans="1:13" x14ac:dyDescent="0.35">
      <c r="A85" t="s">
        <v>51</v>
      </c>
      <c r="B85" s="1">
        <v>45336</v>
      </c>
      <c r="C85" s="3">
        <v>0.81666666666666665</v>
      </c>
      <c r="D85" t="s">
        <v>52</v>
      </c>
      <c r="E85" t="s">
        <v>6</v>
      </c>
      <c r="F85">
        <v>2</v>
      </c>
      <c r="G85" t="s">
        <v>12</v>
      </c>
      <c r="H85" t="s">
        <v>2</v>
      </c>
      <c r="I85" t="s">
        <v>5</v>
      </c>
      <c r="K85">
        <v>20</v>
      </c>
      <c r="L85" t="s">
        <v>498</v>
      </c>
      <c r="M85" t="s">
        <v>492</v>
      </c>
    </row>
    <row r="86" spans="1:13" x14ac:dyDescent="0.35">
      <c r="A86" t="s">
        <v>93</v>
      </c>
      <c r="B86" s="1">
        <v>45337</v>
      </c>
      <c r="C86" s="3">
        <v>0.40208333333333335</v>
      </c>
      <c r="D86" t="s">
        <v>94</v>
      </c>
      <c r="E86" t="s">
        <v>6</v>
      </c>
      <c r="F86">
        <v>47</v>
      </c>
      <c r="G86" t="s">
        <v>12</v>
      </c>
      <c r="H86" t="s">
        <v>2</v>
      </c>
      <c r="I86" t="s">
        <v>5</v>
      </c>
      <c r="K86">
        <v>27</v>
      </c>
      <c r="L86" t="s">
        <v>500</v>
      </c>
      <c r="M86" t="s">
        <v>492</v>
      </c>
    </row>
    <row r="87" spans="1:13" x14ac:dyDescent="0.35">
      <c r="A87" t="s">
        <v>95</v>
      </c>
      <c r="B87" s="1">
        <v>45342</v>
      </c>
      <c r="C87" s="3">
        <v>0.7631944444444444</v>
      </c>
      <c r="D87" t="s">
        <v>96</v>
      </c>
      <c r="E87" t="s">
        <v>6</v>
      </c>
      <c r="F87">
        <v>6</v>
      </c>
      <c r="G87" t="s">
        <v>12</v>
      </c>
      <c r="H87" t="s">
        <v>2</v>
      </c>
      <c r="I87" t="s">
        <v>5</v>
      </c>
      <c r="K87">
        <v>57</v>
      </c>
      <c r="L87" t="s">
        <v>498</v>
      </c>
      <c r="M87" t="s">
        <v>494</v>
      </c>
    </row>
    <row r="88" spans="1:13" x14ac:dyDescent="0.35">
      <c r="A88" t="s">
        <v>97</v>
      </c>
      <c r="B88" s="1">
        <v>45343</v>
      </c>
      <c r="C88" s="3">
        <v>0.67708333333333337</v>
      </c>
      <c r="D88" t="s">
        <v>98</v>
      </c>
      <c r="E88" t="s">
        <v>6</v>
      </c>
      <c r="F88">
        <v>67</v>
      </c>
      <c r="G88" t="s">
        <v>12</v>
      </c>
      <c r="H88" t="s">
        <v>2</v>
      </c>
      <c r="I88" t="s">
        <v>5</v>
      </c>
      <c r="K88">
        <v>16</v>
      </c>
      <c r="L88" t="s">
        <v>499</v>
      </c>
      <c r="M88" t="s">
        <v>492</v>
      </c>
    </row>
    <row r="89" spans="1:13" x14ac:dyDescent="0.35">
      <c r="A89" t="s">
        <v>99</v>
      </c>
      <c r="B89" s="1">
        <v>45351</v>
      </c>
      <c r="C89" s="3">
        <v>0.34305555555555556</v>
      </c>
      <c r="D89" t="s">
        <v>100</v>
      </c>
      <c r="E89" t="s">
        <v>6</v>
      </c>
      <c r="F89">
        <v>16</v>
      </c>
      <c r="G89" t="s">
        <v>12</v>
      </c>
      <c r="H89" t="s">
        <v>2</v>
      </c>
      <c r="I89" t="s">
        <v>5</v>
      </c>
      <c r="K89">
        <v>42</v>
      </c>
      <c r="L89" t="s">
        <v>497</v>
      </c>
      <c r="M89" t="s">
        <v>494</v>
      </c>
    </row>
    <row r="90" spans="1:13" x14ac:dyDescent="0.35">
      <c r="A90" t="s">
        <v>299</v>
      </c>
      <c r="B90" s="1">
        <v>45338</v>
      </c>
      <c r="C90" s="3">
        <v>0.90138888888888891</v>
      </c>
      <c r="D90" t="s">
        <v>300</v>
      </c>
      <c r="E90" t="s">
        <v>0</v>
      </c>
      <c r="F90">
        <v>67</v>
      </c>
      <c r="G90" t="s">
        <v>12</v>
      </c>
      <c r="H90" t="s">
        <v>2</v>
      </c>
      <c r="I90" t="s">
        <v>5</v>
      </c>
      <c r="K90">
        <v>16</v>
      </c>
      <c r="L90" t="s">
        <v>499</v>
      </c>
      <c r="M90" t="s">
        <v>492</v>
      </c>
    </row>
    <row r="91" spans="1:13" x14ac:dyDescent="0.35">
      <c r="A91" t="s">
        <v>301</v>
      </c>
      <c r="B91" s="1">
        <v>45343</v>
      </c>
      <c r="C91" s="3">
        <v>0.66388888888888886</v>
      </c>
      <c r="D91" t="s">
        <v>302</v>
      </c>
      <c r="E91" t="s">
        <v>0</v>
      </c>
      <c r="F91">
        <v>34</v>
      </c>
      <c r="G91" t="s">
        <v>12</v>
      </c>
      <c r="H91" t="s">
        <v>2</v>
      </c>
      <c r="I91" t="s">
        <v>5</v>
      </c>
      <c r="K91">
        <v>11</v>
      </c>
      <c r="L91" t="s">
        <v>496</v>
      </c>
      <c r="M91" t="s">
        <v>492</v>
      </c>
    </row>
    <row r="92" spans="1:13" x14ac:dyDescent="0.35">
      <c r="A92" t="s">
        <v>303</v>
      </c>
      <c r="B92" s="1">
        <v>45334</v>
      </c>
      <c r="C92" s="3">
        <v>0.36944444444444446</v>
      </c>
      <c r="D92" t="s">
        <v>304</v>
      </c>
      <c r="E92" t="s">
        <v>0</v>
      </c>
      <c r="F92">
        <v>39</v>
      </c>
      <c r="G92" t="s">
        <v>12</v>
      </c>
      <c r="H92" t="s">
        <v>2</v>
      </c>
      <c r="I92" t="s">
        <v>5</v>
      </c>
      <c r="K92">
        <v>47</v>
      </c>
      <c r="L92" t="s">
        <v>496</v>
      </c>
      <c r="M92" t="s">
        <v>494</v>
      </c>
    </row>
    <row r="93" spans="1:13" x14ac:dyDescent="0.35">
      <c r="A93" t="s">
        <v>305</v>
      </c>
      <c r="B93" s="1">
        <v>45346</v>
      </c>
      <c r="C93" s="3">
        <v>0.31874999999999998</v>
      </c>
      <c r="D93" t="s">
        <v>306</v>
      </c>
      <c r="E93" t="s">
        <v>0</v>
      </c>
      <c r="F93">
        <v>20</v>
      </c>
      <c r="G93" t="s">
        <v>12</v>
      </c>
      <c r="H93" t="s">
        <v>2</v>
      </c>
      <c r="I93" t="s">
        <v>5</v>
      </c>
      <c r="K93">
        <v>43</v>
      </c>
      <c r="L93" t="s">
        <v>491</v>
      </c>
      <c r="M93" t="s">
        <v>494</v>
      </c>
    </row>
    <row r="94" spans="1:13" x14ac:dyDescent="0.35">
      <c r="A94" t="s">
        <v>141</v>
      </c>
      <c r="B94" s="1">
        <v>45349</v>
      </c>
      <c r="C94" s="3">
        <v>0.97013888888888888</v>
      </c>
      <c r="D94" t="s">
        <v>142</v>
      </c>
      <c r="E94" t="s">
        <v>6</v>
      </c>
      <c r="F94">
        <v>13</v>
      </c>
      <c r="G94" t="s">
        <v>15</v>
      </c>
      <c r="H94" t="s">
        <v>2</v>
      </c>
      <c r="I94" t="s">
        <v>5</v>
      </c>
      <c r="K94">
        <v>16</v>
      </c>
      <c r="L94" t="s">
        <v>497</v>
      </c>
      <c r="M94" t="s">
        <v>492</v>
      </c>
    </row>
    <row r="95" spans="1:13" x14ac:dyDescent="0.35">
      <c r="A95" t="s">
        <v>143</v>
      </c>
      <c r="B95" s="1">
        <v>45324</v>
      </c>
      <c r="C95" s="3">
        <v>0.99861111111111112</v>
      </c>
      <c r="D95" t="s">
        <v>144</v>
      </c>
      <c r="E95" t="s">
        <v>6</v>
      </c>
      <c r="F95">
        <v>24</v>
      </c>
      <c r="G95" t="s">
        <v>15</v>
      </c>
      <c r="H95" t="s">
        <v>2</v>
      </c>
      <c r="I95" t="s">
        <v>5</v>
      </c>
      <c r="K95">
        <v>37</v>
      </c>
      <c r="L95" t="s">
        <v>491</v>
      </c>
      <c r="M95" t="s">
        <v>494</v>
      </c>
    </row>
    <row r="96" spans="1:13" x14ac:dyDescent="0.35">
      <c r="A96" t="s">
        <v>145</v>
      </c>
      <c r="B96" s="1">
        <v>45348</v>
      </c>
      <c r="C96" s="3">
        <v>0.81736111111111109</v>
      </c>
      <c r="D96" t="s">
        <v>146</v>
      </c>
      <c r="E96" t="s">
        <v>6</v>
      </c>
      <c r="F96">
        <v>50</v>
      </c>
      <c r="G96" t="s">
        <v>15</v>
      </c>
      <c r="H96" t="s">
        <v>2</v>
      </c>
      <c r="I96" t="s">
        <v>5</v>
      </c>
      <c r="K96">
        <v>60</v>
      </c>
      <c r="L96" t="s">
        <v>495</v>
      </c>
      <c r="M96" t="s">
        <v>494</v>
      </c>
    </row>
    <row r="97" spans="1:13" x14ac:dyDescent="0.35">
      <c r="A97" t="s">
        <v>343</v>
      </c>
      <c r="B97" s="1">
        <v>45332</v>
      </c>
      <c r="C97" s="3">
        <v>0.35416666666666669</v>
      </c>
      <c r="D97" t="s">
        <v>344</v>
      </c>
      <c r="E97" t="s">
        <v>0</v>
      </c>
      <c r="F97">
        <v>37</v>
      </c>
      <c r="G97" t="s">
        <v>15</v>
      </c>
      <c r="H97" t="s">
        <v>2</v>
      </c>
      <c r="I97" t="s">
        <v>5</v>
      </c>
      <c r="K97">
        <v>36</v>
      </c>
      <c r="L97" t="s">
        <v>496</v>
      </c>
      <c r="M97" t="s">
        <v>494</v>
      </c>
    </row>
    <row r="98" spans="1:13" x14ac:dyDescent="0.35">
      <c r="A98" t="s">
        <v>53</v>
      </c>
      <c r="B98" s="1">
        <v>45340</v>
      </c>
      <c r="C98" s="3">
        <v>0.80069444444444449</v>
      </c>
      <c r="D98" t="s">
        <v>54</v>
      </c>
      <c r="E98" t="s">
        <v>0</v>
      </c>
      <c r="F98">
        <v>67</v>
      </c>
      <c r="G98" t="s">
        <v>4</v>
      </c>
      <c r="H98" t="s">
        <v>2</v>
      </c>
      <c r="I98" t="s">
        <v>5</v>
      </c>
      <c r="K98">
        <v>36</v>
      </c>
      <c r="L98" t="s">
        <v>499</v>
      </c>
      <c r="M98" t="s">
        <v>494</v>
      </c>
    </row>
    <row r="99" spans="1:13" x14ac:dyDescent="0.35">
      <c r="A99" t="s">
        <v>127</v>
      </c>
      <c r="B99" s="1">
        <v>45348</v>
      </c>
      <c r="C99" s="3">
        <v>0.41736111111111113</v>
      </c>
      <c r="D99" t="s">
        <v>128</v>
      </c>
      <c r="E99" t="s">
        <v>6</v>
      </c>
      <c r="F99">
        <v>73</v>
      </c>
      <c r="G99" t="s">
        <v>4</v>
      </c>
      <c r="H99" t="s">
        <v>2</v>
      </c>
      <c r="I99" t="s">
        <v>5</v>
      </c>
      <c r="K99">
        <v>51</v>
      </c>
      <c r="L99" t="s">
        <v>493</v>
      </c>
      <c r="M99" t="s">
        <v>494</v>
      </c>
    </row>
    <row r="100" spans="1:13" x14ac:dyDescent="0.35">
      <c r="A100" t="s">
        <v>129</v>
      </c>
      <c r="B100" s="1">
        <v>45337</v>
      </c>
      <c r="C100" s="3">
        <v>0.6069444444444444</v>
      </c>
      <c r="D100" t="s">
        <v>130</v>
      </c>
      <c r="E100" t="s">
        <v>6</v>
      </c>
      <c r="F100">
        <v>71</v>
      </c>
      <c r="G100" t="s">
        <v>4</v>
      </c>
      <c r="H100" t="s">
        <v>2</v>
      </c>
      <c r="I100" t="s">
        <v>5</v>
      </c>
      <c r="K100">
        <v>42</v>
      </c>
      <c r="L100" t="s">
        <v>493</v>
      </c>
      <c r="M100" t="s">
        <v>494</v>
      </c>
    </row>
    <row r="101" spans="1:13" x14ac:dyDescent="0.35">
      <c r="A101" t="s">
        <v>131</v>
      </c>
      <c r="B101" s="1">
        <v>45334</v>
      </c>
      <c r="C101" s="3">
        <v>2.013888888888889E-2</v>
      </c>
      <c r="D101" t="s">
        <v>132</v>
      </c>
      <c r="E101" t="s">
        <v>6</v>
      </c>
      <c r="F101">
        <v>40</v>
      </c>
      <c r="G101" t="s">
        <v>4</v>
      </c>
      <c r="H101" t="s">
        <v>2</v>
      </c>
      <c r="I101" t="s">
        <v>5</v>
      </c>
      <c r="K101">
        <v>16</v>
      </c>
      <c r="L101" t="s">
        <v>500</v>
      </c>
      <c r="M101" t="s">
        <v>492</v>
      </c>
    </row>
    <row r="102" spans="1:13" x14ac:dyDescent="0.35">
      <c r="A102" t="s">
        <v>331</v>
      </c>
      <c r="B102" s="1">
        <v>45348</v>
      </c>
      <c r="C102" s="3">
        <v>0.10069444444444445</v>
      </c>
      <c r="D102" t="s">
        <v>332</v>
      </c>
      <c r="E102" t="s">
        <v>0</v>
      </c>
      <c r="F102">
        <v>8</v>
      </c>
      <c r="G102" t="s">
        <v>4</v>
      </c>
      <c r="H102" t="s">
        <v>2</v>
      </c>
      <c r="I102" t="s">
        <v>5</v>
      </c>
      <c r="K102">
        <v>17</v>
      </c>
      <c r="L102" t="s">
        <v>498</v>
      </c>
      <c r="M102" t="s">
        <v>492</v>
      </c>
    </row>
    <row r="103" spans="1:13" x14ac:dyDescent="0.35">
      <c r="A103" t="s">
        <v>327</v>
      </c>
      <c r="B103" s="1">
        <v>45348</v>
      </c>
      <c r="C103" s="3">
        <v>0.30555555555555558</v>
      </c>
      <c r="D103" t="s">
        <v>328</v>
      </c>
      <c r="E103" t="s">
        <v>0</v>
      </c>
      <c r="F103">
        <v>4</v>
      </c>
      <c r="G103" t="s">
        <v>4</v>
      </c>
      <c r="H103" t="s">
        <v>8</v>
      </c>
      <c r="I103" t="s">
        <v>5</v>
      </c>
      <c r="K103">
        <v>58</v>
      </c>
      <c r="L103" t="s">
        <v>498</v>
      </c>
      <c r="M103" t="s">
        <v>494</v>
      </c>
    </row>
    <row r="104" spans="1:13" x14ac:dyDescent="0.35">
      <c r="A104" t="s">
        <v>339</v>
      </c>
      <c r="B104" s="1">
        <v>45351</v>
      </c>
      <c r="C104" s="3">
        <v>5.6944444444444443E-2</v>
      </c>
      <c r="D104" t="s">
        <v>340</v>
      </c>
      <c r="E104" t="s">
        <v>0</v>
      </c>
      <c r="F104">
        <v>73</v>
      </c>
      <c r="G104" t="s">
        <v>15</v>
      </c>
      <c r="H104" t="s">
        <v>8</v>
      </c>
      <c r="I104" t="s">
        <v>5</v>
      </c>
      <c r="K104">
        <v>27</v>
      </c>
      <c r="L104" t="s">
        <v>493</v>
      </c>
      <c r="M104" t="s">
        <v>492</v>
      </c>
    </row>
    <row r="105" spans="1:13" x14ac:dyDescent="0.35">
      <c r="A105" t="s">
        <v>341</v>
      </c>
      <c r="B105" s="1">
        <v>45347</v>
      </c>
      <c r="C105" s="3">
        <v>0.69305555555555554</v>
      </c>
      <c r="D105" t="s">
        <v>342</v>
      </c>
      <c r="E105" t="s">
        <v>0</v>
      </c>
      <c r="F105">
        <v>70</v>
      </c>
      <c r="G105" t="s">
        <v>15</v>
      </c>
      <c r="H105" t="s">
        <v>8</v>
      </c>
      <c r="I105" t="s">
        <v>5</v>
      </c>
      <c r="K105">
        <v>49</v>
      </c>
      <c r="L105" t="s">
        <v>493</v>
      </c>
      <c r="M105" t="s">
        <v>494</v>
      </c>
    </row>
    <row r="106" spans="1:13" x14ac:dyDescent="0.35">
      <c r="A106" t="s">
        <v>37</v>
      </c>
      <c r="B106" s="1">
        <v>45344</v>
      </c>
      <c r="C106" s="3">
        <v>0.67083333333333328</v>
      </c>
      <c r="D106" t="s">
        <v>38</v>
      </c>
      <c r="E106" t="s">
        <v>6</v>
      </c>
      <c r="F106">
        <v>32</v>
      </c>
      <c r="G106" t="s">
        <v>16</v>
      </c>
      <c r="H106" t="s">
        <v>8</v>
      </c>
      <c r="I106" t="s">
        <v>5</v>
      </c>
      <c r="K106">
        <v>39</v>
      </c>
      <c r="L106" t="s">
        <v>496</v>
      </c>
      <c r="M106" t="s">
        <v>494</v>
      </c>
    </row>
    <row r="107" spans="1:13" x14ac:dyDescent="0.35">
      <c r="A107" t="s">
        <v>43</v>
      </c>
      <c r="B107" s="1">
        <v>45328</v>
      </c>
      <c r="C107" s="3">
        <v>0.44236111111111109</v>
      </c>
      <c r="D107" t="s">
        <v>44</v>
      </c>
      <c r="E107" t="s">
        <v>0</v>
      </c>
      <c r="F107">
        <v>56</v>
      </c>
      <c r="G107" t="s">
        <v>16</v>
      </c>
      <c r="H107" t="s">
        <v>8</v>
      </c>
      <c r="I107" t="s">
        <v>5</v>
      </c>
      <c r="K107">
        <v>40</v>
      </c>
      <c r="L107" t="s">
        <v>495</v>
      </c>
      <c r="M107" t="s">
        <v>494</v>
      </c>
    </row>
    <row r="108" spans="1:13" x14ac:dyDescent="0.35">
      <c r="A108" t="s">
        <v>117</v>
      </c>
      <c r="B108" s="1">
        <v>45327</v>
      </c>
      <c r="C108" s="3">
        <v>0.66180555555555554</v>
      </c>
      <c r="D108" t="s">
        <v>118</v>
      </c>
      <c r="E108" t="s">
        <v>6</v>
      </c>
      <c r="F108">
        <v>3</v>
      </c>
      <c r="G108" t="s">
        <v>16</v>
      </c>
      <c r="H108" t="s">
        <v>8</v>
      </c>
      <c r="I108" t="s">
        <v>5</v>
      </c>
      <c r="K108">
        <v>42</v>
      </c>
      <c r="L108" t="s">
        <v>498</v>
      </c>
      <c r="M108" t="s">
        <v>494</v>
      </c>
    </row>
    <row r="109" spans="1:13" x14ac:dyDescent="0.35">
      <c r="A109" t="s">
        <v>315</v>
      </c>
      <c r="B109" s="1">
        <v>45333</v>
      </c>
      <c r="C109" s="3">
        <v>0.90069444444444446</v>
      </c>
      <c r="D109" t="s">
        <v>316</v>
      </c>
      <c r="E109" t="s">
        <v>0</v>
      </c>
      <c r="F109">
        <v>38</v>
      </c>
      <c r="G109" t="s">
        <v>16</v>
      </c>
      <c r="H109" t="s">
        <v>8</v>
      </c>
      <c r="I109" t="s">
        <v>5</v>
      </c>
      <c r="K109">
        <v>35</v>
      </c>
      <c r="L109" t="s">
        <v>496</v>
      </c>
      <c r="M109" t="s">
        <v>494</v>
      </c>
    </row>
    <row r="110" spans="1:13" x14ac:dyDescent="0.35">
      <c r="A110" t="s">
        <v>91</v>
      </c>
      <c r="B110" s="1">
        <v>45329</v>
      </c>
      <c r="C110" s="3">
        <v>0.23402777777777778</v>
      </c>
      <c r="D110" t="s">
        <v>92</v>
      </c>
      <c r="E110" t="s">
        <v>6</v>
      </c>
      <c r="F110">
        <v>60</v>
      </c>
      <c r="G110" t="s">
        <v>12</v>
      </c>
      <c r="H110" t="s">
        <v>8</v>
      </c>
      <c r="I110" t="s">
        <v>5</v>
      </c>
      <c r="K110">
        <v>21</v>
      </c>
      <c r="L110" t="s">
        <v>499</v>
      </c>
      <c r="M110" t="s">
        <v>492</v>
      </c>
    </row>
    <row r="111" spans="1:13" x14ac:dyDescent="0.35">
      <c r="A111" t="s">
        <v>295</v>
      </c>
      <c r="B111" s="1">
        <v>45337</v>
      </c>
      <c r="C111" s="3">
        <v>0.37222222222222223</v>
      </c>
      <c r="D111" t="s">
        <v>296</v>
      </c>
      <c r="E111" t="s">
        <v>0</v>
      </c>
      <c r="F111">
        <v>75</v>
      </c>
      <c r="G111" t="s">
        <v>12</v>
      </c>
      <c r="H111" t="s">
        <v>8</v>
      </c>
      <c r="I111" t="s">
        <v>5</v>
      </c>
      <c r="K111">
        <v>10</v>
      </c>
      <c r="L111" t="s">
        <v>493</v>
      </c>
      <c r="M111" t="s">
        <v>492</v>
      </c>
    </row>
    <row r="112" spans="1:13" x14ac:dyDescent="0.35">
      <c r="A112" t="s">
        <v>297</v>
      </c>
      <c r="B112" s="1">
        <v>45341</v>
      </c>
      <c r="C112" s="3">
        <v>2.5694444444444443E-2</v>
      </c>
      <c r="D112" t="s">
        <v>298</v>
      </c>
      <c r="E112" t="s">
        <v>0</v>
      </c>
      <c r="F112">
        <v>38</v>
      </c>
      <c r="G112" t="s">
        <v>12</v>
      </c>
      <c r="H112" t="s">
        <v>8</v>
      </c>
      <c r="I112" t="s">
        <v>5</v>
      </c>
      <c r="K112">
        <v>38</v>
      </c>
      <c r="L112" t="s">
        <v>496</v>
      </c>
      <c r="M112" t="s">
        <v>494</v>
      </c>
    </row>
    <row r="113" spans="1:13" x14ac:dyDescent="0.35">
      <c r="A113" t="s">
        <v>349</v>
      </c>
      <c r="B113" s="1">
        <v>45347</v>
      </c>
      <c r="C113" s="3">
        <v>0.74444444444444446</v>
      </c>
      <c r="D113" t="s">
        <v>350</v>
      </c>
      <c r="E113" t="s">
        <v>0</v>
      </c>
      <c r="F113">
        <v>37</v>
      </c>
      <c r="G113" t="s">
        <v>13</v>
      </c>
      <c r="H113" t="s">
        <v>8</v>
      </c>
      <c r="I113" t="s">
        <v>5</v>
      </c>
      <c r="K113">
        <v>39</v>
      </c>
      <c r="L113" t="s">
        <v>496</v>
      </c>
      <c r="M113" t="s">
        <v>494</v>
      </c>
    </row>
    <row r="114" spans="1:13" x14ac:dyDescent="0.35">
      <c r="A114" t="s">
        <v>351</v>
      </c>
      <c r="B114" s="1">
        <v>45332</v>
      </c>
      <c r="C114" s="3">
        <v>0.39652777777777776</v>
      </c>
      <c r="D114" t="s">
        <v>352</v>
      </c>
      <c r="E114" t="s">
        <v>0</v>
      </c>
      <c r="F114">
        <v>42</v>
      </c>
      <c r="G114" t="s">
        <v>13</v>
      </c>
      <c r="H114" t="s">
        <v>8</v>
      </c>
      <c r="I114" t="s">
        <v>5</v>
      </c>
      <c r="K114">
        <v>53</v>
      </c>
      <c r="L114" t="s">
        <v>500</v>
      </c>
      <c r="M114" t="s">
        <v>494</v>
      </c>
    </row>
    <row r="115" spans="1:13" x14ac:dyDescent="0.35">
      <c r="A115" t="s">
        <v>353</v>
      </c>
      <c r="B115" s="1">
        <v>45332</v>
      </c>
      <c r="C115" s="3">
        <v>0.92152777777777772</v>
      </c>
      <c r="D115" t="s">
        <v>354</v>
      </c>
      <c r="E115" t="s">
        <v>0</v>
      </c>
      <c r="F115">
        <v>64</v>
      </c>
      <c r="G115" t="s">
        <v>13</v>
      </c>
      <c r="H115" t="s">
        <v>8</v>
      </c>
      <c r="I115" t="s">
        <v>5</v>
      </c>
      <c r="K115">
        <v>46</v>
      </c>
      <c r="L115" t="s">
        <v>499</v>
      </c>
      <c r="M115" t="s">
        <v>494</v>
      </c>
    </row>
    <row r="116" spans="1:13" x14ac:dyDescent="0.35">
      <c r="A116" t="s">
        <v>355</v>
      </c>
      <c r="B116" s="1">
        <v>45332</v>
      </c>
      <c r="C116" s="3">
        <v>0.45833333333333331</v>
      </c>
      <c r="D116" t="s">
        <v>356</v>
      </c>
      <c r="E116" t="s">
        <v>0</v>
      </c>
      <c r="F116">
        <v>15</v>
      </c>
      <c r="G116" t="s">
        <v>13</v>
      </c>
      <c r="H116" t="s">
        <v>8</v>
      </c>
      <c r="I116" t="s">
        <v>5</v>
      </c>
      <c r="K116">
        <v>57</v>
      </c>
      <c r="L116" t="s">
        <v>497</v>
      </c>
      <c r="M116" t="s">
        <v>494</v>
      </c>
    </row>
    <row r="117" spans="1:13" x14ac:dyDescent="0.35">
      <c r="A117" t="s">
        <v>357</v>
      </c>
      <c r="B117" s="1">
        <v>45332</v>
      </c>
      <c r="C117" s="3">
        <v>9.930555555555555E-2</v>
      </c>
      <c r="D117" t="s">
        <v>358</v>
      </c>
      <c r="E117" t="s">
        <v>0</v>
      </c>
      <c r="F117">
        <v>42</v>
      </c>
      <c r="G117" t="s">
        <v>13</v>
      </c>
      <c r="H117" t="s">
        <v>8</v>
      </c>
      <c r="I117" t="s">
        <v>5</v>
      </c>
      <c r="K117">
        <v>17</v>
      </c>
      <c r="L117" t="s">
        <v>500</v>
      </c>
      <c r="M117" t="s">
        <v>492</v>
      </c>
    </row>
    <row r="118" spans="1:13" x14ac:dyDescent="0.35">
      <c r="A118" t="s">
        <v>149</v>
      </c>
      <c r="B118" s="1">
        <v>45335</v>
      </c>
      <c r="C118" s="3">
        <v>0.21041666666666667</v>
      </c>
      <c r="D118" t="s">
        <v>150</v>
      </c>
      <c r="E118" t="s">
        <v>6</v>
      </c>
      <c r="F118">
        <v>26</v>
      </c>
      <c r="G118" t="s">
        <v>13</v>
      </c>
      <c r="H118" t="s">
        <v>8</v>
      </c>
      <c r="I118" t="s">
        <v>5</v>
      </c>
      <c r="K118">
        <v>55</v>
      </c>
      <c r="L118" t="s">
        <v>491</v>
      </c>
      <c r="M118" t="s">
        <v>494</v>
      </c>
    </row>
    <row r="119" spans="1:13" x14ac:dyDescent="0.35">
      <c r="A119" t="s">
        <v>151</v>
      </c>
      <c r="B119" s="1">
        <v>45329</v>
      </c>
      <c r="C119" s="3">
        <v>0.4777777777777778</v>
      </c>
      <c r="D119" t="s">
        <v>152</v>
      </c>
      <c r="E119" t="s">
        <v>6</v>
      </c>
      <c r="F119">
        <v>44</v>
      </c>
      <c r="G119" t="s">
        <v>13</v>
      </c>
      <c r="H119" t="s">
        <v>8</v>
      </c>
      <c r="I119" t="s">
        <v>5</v>
      </c>
      <c r="K119">
        <v>48</v>
      </c>
      <c r="L119" t="s">
        <v>500</v>
      </c>
      <c r="M119" t="s">
        <v>494</v>
      </c>
    </row>
    <row r="120" spans="1:13" x14ac:dyDescent="0.35">
      <c r="A120" t="s">
        <v>47</v>
      </c>
      <c r="B120" s="1">
        <v>45337</v>
      </c>
      <c r="C120" s="3">
        <v>0.56874999999999998</v>
      </c>
      <c r="D120" t="s">
        <v>48</v>
      </c>
      <c r="E120" t="s">
        <v>6</v>
      </c>
      <c r="F120">
        <v>28</v>
      </c>
      <c r="G120" t="s">
        <v>7</v>
      </c>
      <c r="H120" t="s">
        <v>8</v>
      </c>
      <c r="I120" t="s">
        <v>5</v>
      </c>
      <c r="K120">
        <v>52</v>
      </c>
      <c r="L120" t="s">
        <v>491</v>
      </c>
      <c r="M120" t="s">
        <v>494</v>
      </c>
    </row>
    <row r="121" spans="1:13" x14ac:dyDescent="0.35">
      <c r="A121" t="s">
        <v>35</v>
      </c>
      <c r="B121" s="1">
        <v>45326</v>
      </c>
      <c r="C121" s="3">
        <v>0.57847222222222228</v>
      </c>
      <c r="D121" t="s">
        <v>36</v>
      </c>
      <c r="E121" t="s">
        <v>0</v>
      </c>
      <c r="F121">
        <v>15</v>
      </c>
      <c r="G121" t="s">
        <v>7</v>
      </c>
      <c r="H121" t="s">
        <v>8</v>
      </c>
      <c r="I121" t="s">
        <v>5</v>
      </c>
      <c r="K121">
        <v>16</v>
      </c>
      <c r="L121" t="s">
        <v>497</v>
      </c>
      <c r="M121" t="s">
        <v>492</v>
      </c>
    </row>
    <row r="122" spans="1:13" x14ac:dyDescent="0.35">
      <c r="A122" t="s">
        <v>235</v>
      </c>
      <c r="B122" s="1">
        <v>45347</v>
      </c>
      <c r="C122" s="3">
        <v>4.6527777777777779E-2</v>
      </c>
      <c r="D122" t="s">
        <v>236</v>
      </c>
      <c r="E122" t="s">
        <v>0</v>
      </c>
      <c r="F122">
        <v>18</v>
      </c>
      <c r="G122" t="s">
        <v>7</v>
      </c>
      <c r="H122" t="s">
        <v>8</v>
      </c>
      <c r="I122" t="s">
        <v>5</v>
      </c>
      <c r="K122">
        <v>13</v>
      </c>
      <c r="L122" t="s">
        <v>497</v>
      </c>
      <c r="M122" t="s">
        <v>492</v>
      </c>
    </row>
    <row r="123" spans="1:13" x14ac:dyDescent="0.35">
      <c r="A123" t="s">
        <v>237</v>
      </c>
      <c r="B123" s="1">
        <v>45332</v>
      </c>
      <c r="C123" s="3">
        <v>0.47291666666666665</v>
      </c>
      <c r="D123" t="s">
        <v>238</v>
      </c>
      <c r="E123" t="s">
        <v>0</v>
      </c>
      <c r="F123">
        <v>76</v>
      </c>
      <c r="G123" t="s">
        <v>7</v>
      </c>
      <c r="H123" t="s">
        <v>8</v>
      </c>
      <c r="I123" t="s">
        <v>5</v>
      </c>
      <c r="K123">
        <v>38</v>
      </c>
      <c r="L123" t="s">
        <v>493</v>
      </c>
      <c r="M123" t="s">
        <v>494</v>
      </c>
    </row>
    <row r="124" spans="1:13" x14ac:dyDescent="0.35">
      <c r="A124" t="s">
        <v>239</v>
      </c>
      <c r="B124" s="1">
        <v>45346</v>
      </c>
      <c r="C124" s="3">
        <v>0.36249999999999999</v>
      </c>
      <c r="D124" t="s">
        <v>240</v>
      </c>
      <c r="E124" t="s">
        <v>0</v>
      </c>
      <c r="F124">
        <v>74</v>
      </c>
      <c r="G124" t="s">
        <v>7</v>
      </c>
      <c r="H124" t="s">
        <v>8</v>
      </c>
      <c r="I124" t="s">
        <v>5</v>
      </c>
      <c r="K124">
        <v>41</v>
      </c>
      <c r="L124" t="s">
        <v>493</v>
      </c>
      <c r="M124" t="s">
        <v>494</v>
      </c>
    </row>
    <row r="125" spans="1:13" x14ac:dyDescent="0.35">
      <c r="A125" t="s">
        <v>241</v>
      </c>
      <c r="B125" s="1">
        <v>45338</v>
      </c>
      <c r="C125" s="3">
        <v>0.95416666666666672</v>
      </c>
      <c r="D125" t="s">
        <v>242</v>
      </c>
      <c r="E125" t="s">
        <v>0</v>
      </c>
      <c r="F125">
        <v>63</v>
      </c>
      <c r="G125" t="s">
        <v>7</v>
      </c>
      <c r="H125" t="s">
        <v>8</v>
      </c>
      <c r="I125" t="s">
        <v>5</v>
      </c>
      <c r="K125">
        <v>47</v>
      </c>
      <c r="L125" t="s">
        <v>499</v>
      </c>
      <c r="M125" t="s">
        <v>494</v>
      </c>
    </row>
    <row r="126" spans="1:13" x14ac:dyDescent="0.35">
      <c r="A126" t="s">
        <v>243</v>
      </c>
      <c r="B126" s="1">
        <v>45323</v>
      </c>
      <c r="C126" s="3">
        <v>0.29236111111111113</v>
      </c>
      <c r="D126" t="s">
        <v>244</v>
      </c>
      <c r="E126" t="s">
        <v>0</v>
      </c>
      <c r="F126">
        <v>26</v>
      </c>
      <c r="G126" t="s">
        <v>7</v>
      </c>
      <c r="H126" t="s">
        <v>8</v>
      </c>
      <c r="I126" t="s">
        <v>5</v>
      </c>
      <c r="K126">
        <v>12</v>
      </c>
      <c r="L126" t="s">
        <v>491</v>
      </c>
      <c r="M126" t="s">
        <v>492</v>
      </c>
    </row>
    <row r="127" spans="1:13" x14ac:dyDescent="0.35">
      <c r="A127" t="s">
        <v>245</v>
      </c>
      <c r="B127" s="1">
        <v>45337</v>
      </c>
      <c r="C127" s="3">
        <v>0.87708333333333333</v>
      </c>
      <c r="D127" t="s">
        <v>246</v>
      </c>
      <c r="E127" t="s">
        <v>0</v>
      </c>
      <c r="F127">
        <v>11</v>
      </c>
      <c r="G127" t="s">
        <v>7</v>
      </c>
      <c r="H127" t="s">
        <v>8</v>
      </c>
      <c r="I127" t="s">
        <v>5</v>
      </c>
      <c r="K127">
        <v>22</v>
      </c>
      <c r="L127" t="s">
        <v>497</v>
      </c>
      <c r="M127" t="s">
        <v>492</v>
      </c>
    </row>
    <row r="128" spans="1:13" x14ac:dyDescent="0.35">
      <c r="A128" t="s">
        <v>247</v>
      </c>
      <c r="B128" s="1">
        <v>45347</v>
      </c>
      <c r="C128" s="3">
        <v>0.41180555555555554</v>
      </c>
      <c r="D128" t="s">
        <v>248</v>
      </c>
      <c r="E128" t="s">
        <v>0</v>
      </c>
      <c r="F128">
        <v>71</v>
      </c>
      <c r="G128" t="s">
        <v>7</v>
      </c>
      <c r="H128" t="s">
        <v>8</v>
      </c>
      <c r="I128" t="s">
        <v>5</v>
      </c>
      <c r="K128">
        <v>58</v>
      </c>
      <c r="L128" t="s">
        <v>493</v>
      </c>
      <c r="M128" t="s">
        <v>494</v>
      </c>
    </row>
    <row r="129" spans="1:13" x14ac:dyDescent="0.35">
      <c r="A129" t="s">
        <v>249</v>
      </c>
      <c r="B129" s="1">
        <v>45333</v>
      </c>
      <c r="C129" s="3">
        <v>0.22847222222222222</v>
      </c>
      <c r="D129" t="s">
        <v>250</v>
      </c>
      <c r="E129" t="s">
        <v>0</v>
      </c>
      <c r="F129">
        <v>59</v>
      </c>
      <c r="G129" t="s">
        <v>7</v>
      </c>
      <c r="H129" t="s">
        <v>8</v>
      </c>
      <c r="I129" t="s">
        <v>5</v>
      </c>
      <c r="K129">
        <v>40</v>
      </c>
      <c r="L129" t="s">
        <v>495</v>
      </c>
      <c r="M129" t="s">
        <v>494</v>
      </c>
    </row>
    <row r="130" spans="1:13" x14ac:dyDescent="0.35">
      <c r="A130" t="s">
        <v>173</v>
      </c>
      <c r="B130" s="1">
        <v>45349</v>
      </c>
      <c r="C130" s="3">
        <v>0.2076388888888889</v>
      </c>
      <c r="D130" t="s">
        <v>174</v>
      </c>
      <c r="E130" t="s">
        <v>6</v>
      </c>
      <c r="F130">
        <v>48</v>
      </c>
      <c r="G130" t="s">
        <v>1</v>
      </c>
      <c r="H130" t="s">
        <v>8</v>
      </c>
      <c r="I130" t="s">
        <v>5</v>
      </c>
      <c r="K130">
        <v>10</v>
      </c>
      <c r="L130" t="s">
        <v>500</v>
      </c>
      <c r="M130" t="s">
        <v>492</v>
      </c>
    </row>
    <row r="131" spans="1:13" x14ac:dyDescent="0.35">
      <c r="A131" t="s">
        <v>175</v>
      </c>
      <c r="B131" s="1">
        <v>45331</v>
      </c>
      <c r="C131" s="3">
        <v>0.51458333333333328</v>
      </c>
      <c r="D131" t="s">
        <v>176</v>
      </c>
      <c r="E131" t="s">
        <v>6</v>
      </c>
      <c r="F131">
        <v>64</v>
      </c>
      <c r="G131" t="s">
        <v>1</v>
      </c>
      <c r="H131" t="s">
        <v>8</v>
      </c>
      <c r="I131" t="s">
        <v>5</v>
      </c>
      <c r="K131">
        <v>55</v>
      </c>
      <c r="L131" t="s">
        <v>499</v>
      </c>
      <c r="M131" t="s">
        <v>494</v>
      </c>
    </row>
    <row r="132" spans="1:13" x14ac:dyDescent="0.35">
      <c r="A132" t="s">
        <v>177</v>
      </c>
      <c r="B132" s="1">
        <v>45344</v>
      </c>
      <c r="C132" s="3">
        <v>0.77222222222222225</v>
      </c>
      <c r="D132" t="s">
        <v>178</v>
      </c>
      <c r="E132" t="s">
        <v>6</v>
      </c>
      <c r="F132">
        <v>3</v>
      </c>
      <c r="G132" t="s">
        <v>1</v>
      </c>
      <c r="H132" t="s">
        <v>8</v>
      </c>
      <c r="I132" t="s">
        <v>5</v>
      </c>
      <c r="K132">
        <v>51</v>
      </c>
      <c r="L132" t="s">
        <v>498</v>
      </c>
      <c r="M132" t="s">
        <v>494</v>
      </c>
    </row>
    <row r="133" spans="1:13" x14ac:dyDescent="0.35">
      <c r="A133" t="s">
        <v>179</v>
      </c>
      <c r="B133" s="1">
        <v>45332</v>
      </c>
      <c r="C133" s="3">
        <v>0.81388888888888888</v>
      </c>
      <c r="D133" t="s">
        <v>180</v>
      </c>
      <c r="E133" t="s">
        <v>6</v>
      </c>
      <c r="F133">
        <v>73</v>
      </c>
      <c r="G133" t="s">
        <v>1</v>
      </c>
      <c r="H133" t="s">
        <v>8</v>
      </c>
      <c r="I133" t="s">
        <v>5</v>
      </c>
      <c r="K133">
        <v>14</v>
      </c>
      <c r="L133" t="s">
        <v>493</v>
      </c>
      <c r="M133" t="s">
        <v>492</v>
      </c>
    </row>
    <row r="134" spans="1:13" x14ac:dyDescent="0.35">
      <c r="A134" t="s">
        <v>181</v>
      </c>
      <c r="B134" s="1">
        <v>45337</v>
      </c>
      <c r="C134" s="3">
        <v>0.62847222222222221</v>
      </c>
      <c r="D134" t="s">
        <v>182</v>
      </c>
      <c r="E134" t="s">
        <v>6</v>
      </c>
      <c r="F134">
        <v>33</v>
      </c>
      <c r="G134" t="s">
        <v>1</v>
      </c>
      <c r="H134" t="s">
        <v>8</v>
      </c>
      <c r="I134" t="s">
        <v>5</v>
      </c>
      <c r="K134">
        <v>55</v>
      </c>
      <c r="L134" t="s">
        <v>496</v>
      </c>
      <c r="M134" t="s">
        <v>494</v>
      </c>
    </row>
    <row r="135" spans="1:13" x14ac:dyDescent="0.35">
      <c r="A135" t="s">
        <v>395</v>
      </c>
      <c r="B135" s="1">
        <v>45330</v>
      </c>
      <c r="C135" s="3">
        <v>0.44444444444444442</v>
      </c>
      <c r="D135" t="s">
        <v>396</v>
      </c>
      <c r="E135" t="s">
        <v>0</v>
      </c>
      <c r="F135">
        <v>7</v>
      </c>
      <c r="G135" t="s">
        <v>1</v>
      </c>
      <c r="H135" t="s">
        <v>8</v>
      </c>
      <c r="I135" t="s">
        <v>5</v>
      </c>
      <c r="K135">
        <v>29</v>
      </c>
      <c r="L135" t="s">
        <v>498</v>
      </c>
      <c r="M135" t="s">
        <v>492</v>
      </c>
    </row>
    <row r="136" spans="1:13" x14ac:dyDescent="0.35">
      <c r="A136" t="s">
        <v>397</v>
      </c>
      <c r="B136" s="1">
        <v>45330</v>
      </c>
      <c r="C136" s="3">
        <v>0.13402777777777777</v>
      </c>
      <c r="D136" t="s">
        <v>398</v>
      </c>
      <c r="E136" t="s">
        <v>0</v>
      </c>
      <c r="F136">
        <v>57</v>
      </c>
      <c r="G136" t="s">
        <v>1</v>
      </c>
      <c r="H136" t="s">
        <v>8</v>
      </c>
      <c r="I136" t="s">
        <v>5</v>
      </c>
      <c r="K136">
        <v>38</v>
      </c>
      <c r="L136" t="s">
        <v>495</v>
      </c>
      <c r="M136" t="s">
        <v>494</v>
      </c>
    </row>
    <row r="137" spans="1:13" x14ac:dyDescent="0.35">
      <c r="A137" t="s">
        <v>23</v>
      </c>
      <c r="B137" s="1">
        <v>45328</v>
      </c>
      <c r="C137" s="3">
        <v>0.74930555555555556</v>
      </c>
      <c r="D137" t="s">
        <v>24</v>
      </c>
      <c r="E137" t="s">
        <v>0</v>
      </c>
      <c r="F137">
        <v>16</v>
      </c>
      <c r="G137" t="s">
        <v>1</v>
      </c>
      <c r="H137" t="s">
        <v>11</v>
      </c>
      <c r="I137" t="s">
        <v>5</v>
      </c>
      <c r="K137">
        <v>37</v>
      </c>
      <c r="L137" t="s">
        <v>497</v>
      </c>
      <c r="M137" t="s">
        <v>494</v>
      </c>
    </row>
    <row r="138" spans="1:13" x14ac:dyDescent="0.35">
      <c r="A138" t="s">
        <v>61</v>
      </c>
      <c r="B138" s="1">
        <v>45330</v>
      </c>
      <c r="C138" s="3">
        <v>0.77013888888888893</v>
      </c>
      <c r="D138" t="s">
        <v>62</v>
      </c>
      <c r="E138" t="s">
        <v>0</v>
      </c>
      <c r="F138">
        <v>44</v>
      </c>
      <c r="G138" t="s">
        <v>1</v>
      </c>
      <c r="H138" t="s">
        <v>11</v>
      </c>
      <c r="I138" t="s">
        <v>5</v>
      </c>
      <c r="K138">
        <v>19</v>
      </c>
      <c r="L138" t="s">
        <v>500</v>
      </c>
      <c r="M138" t="s">
        <v>492</v>
      </c>
    </row>
    <row r="139" spans="1:13" x14ac:dyDescent="0.35">
      <c r="A139" t="s">
        <v>221</v>
      </c>
      <c r="B139" s="1">
        <v>45336</v>
      </c>
      <c r="C139" s="3">
        <v>0.99097222222222225</v>
      </c>
      <c r="D139" t="s">
        <v>222</v>
      </c>
      <c r="E139" t="s">
        <v>6</v>
      </c>
      <c r="F139">
        <v>25</v>
      </c>
      <c r="G139" t="s">
        <v>1</v>
      </c>
      <c r="H139" t="s">
        <v>11</v>
      </c>
      <c r="I139" t="s">
        <v>5</v>
      </c>
      <c r="K139">
        <v>20</v>
      </c>
      <c r="L139" t="s">
        <v>491</v>
      </c>
      <c r="M139" t="s">
        <v>492</v>
      </c>
    </row>
    <row r="140" spans="1:13" x14ac:dyDescent="0.35">
      <c r="A140" t="s">
        <v>223</v>
      </c>
      <c r="B140" s="1">
        <v>45332</v>
      </c>
      <c r="C140" s="3">
        <v>0.47430555555555554</v>
      </c>
      <c r="D140" t="s">
        <v>224</v>
      </c>
      <c r="E140" t="s">
        <v>6</v>
      </c>
      <c r="F140">
        <v>58</v>
      </c>
      <c r="G140" t="s">
        <v>1</v>
      </c>
      <c r="H140" t="s">
        <v>11</v>
      </c>
      <c r="I140" t="s">
        <v>5</v>
      </c>
      <c r="K140">
        <v>19</v>
      </c>
      <c r="L140" t="s">
        <v>495</v>
      </c>
      <c r="M140" t="s">
        <v>492</v>
      </c>
    </row>
    <row r="141" spans="1:13" x14ac:dyDescent="0.35">
      <c r="A141" t="s">
        <v>225</v>
      </c>
      <c r="B141" s="1">
        <v>45330</v>
      </c>
      <c r="C141" s="3">
        <v>0.92222222222222228</v>
      </c>
      <c r="D141" t="s">
        <v>226</v>
      </c>
      <c r="E141" t="s">
        <v>6</v>
      </c>
      <c r="F141">
        <v>40</v>
      </c>
      <c r="G141" t="s">
        <v>1</v>
      </c>
      <c r="H141" t="s">
        <v>11</v>
      </c>
      <c r="I141" t="s">
        <v>5</v>
      </c>
      <c r="K141">
        <v>19</v>
      </c>
      <c r="L141" t="s">
        <v>500</v>
      </c>
      <c r="M141" t="s">
        <v>492</v>
      </c>
    </row>
    <row r="142" spans="1:13" x14ac:dyDescent="0.35">
      <c r="A142" t="s">
        <v>451</v>
      </c>
      <c r="B142" s="1">
        <v>45347</v>
      </c>
      <c r="C142" s="3">
        <v>0.24027777777777778</v>
      </c>
      <c r="D142" t="s">
        <v>452</v>
      </c>
      <c r="E142" t="s">
        <v>0</v>
      </c>
      <c r="F142">
        <v>24</v>
      </c>
      <c r="G142" t="s">
        <v>1</v>
      </c>
      <c r="H142" t="s">
        <v>11</v>
      </c>
      <c r="I142" t="s">
        <v>5</v>
      </c>
      <c r="K142">
        <v>20</v>
      </c>
      <c r="L142" t="s">
        <v>491</v>
      </c>
      <c r="M142" t="s">
        <v>492</v>
      </c>
    </row>
    <row r="143" spans="1:13" x14ac:dyDescent="0.35">
      <c r="A143" t="s">
        <v>453</v>
      </c>
      <c r="B143" s="1">
        <v>45329</v>
      </c>
      <c r="C143" s="3">
        <v>0.5083333333333333</v>
      </c>
      <c r="D143" t="s">
        <v>454</v>
      </c>
      <c r="E143" t="s">
        <v>0</v>
      </c>
      <c r="F143">
        <v>79</v>
      </c>
      <c r="G143" t="s">
        <v>1</v>
      </c>
      <c r="H143" t="s">
        <v>11</v>
      </c>
      <c r="I143" t="s">
        <v>5</v>
      </c>
      <c r="K143">
        <v>12</v>
      </c>
      <c r="L143" t="s">
        <v>493</v>
      </c>
      <c r="M143" t="s">
        <v>492</v>
      </c>
    </row>
    <row r="144" spans="1:13" x14ac:dyDescent="0.35">
      <c r="A144" t="s">
        <v>455</v>
      </c>
      <c r="B144" s="1">
        <v>45339</v>
      </c>
      <c r="C144" s="3">
        <v>0.90972222222222221</v>
      </c>
      <c r="D144" t="s">
        <v>456</v>
      </c>
      <c r="E144" t="s">
        <v>0</v>
      </c>
      <c r="F144">
        <v>31</v>
      </c>
      <c r="G144" t="s">
        <v>1</v>
      </c>
      <c r="H144" t="s">
        <v>11</v>
      </c>
      <c r="I144" t="s">
        <v>5</v>
      </c>
      <c r="K144">
        <v>49</v>
      </c>
      <c r="L144" t="s">
        <v>496</v>
      </c>
      <c r="M144" t="s">
        <v>494</v>
      </c>
    </row>
    <row r="145" spans="1:13" x14ac:dyDescent="0.35">
      <c r="A145" t="s">
        <v>457</v>
      </c>
      <c r="B145" s="1">
        <v>45327</v>
      </c>
      <c r="C145" s="3">
        <v>0.69861111111111107</v>
      </c>
      <c r="D145" t="s">
        <v>458</v>
      </c>
      <c r="E145" t="s">
        <v>0</v>
      </c>
      <c r="F145">
        <v>71</v>
      </c>
      <c r="G145" t="s">
        <v>1</v>
      </c>
      <c r="H145" t="s">
        <v>11</v>
      </c>
      <c r="I145" t="s">
        <v>5</v>
      </c>
      <c r="K145">
        <v>47</v>
      </c>
      <c r="L145" t="s">
        <v>493</v>
      </c>
      <c r="M145" t="s">
        <v>494</v>
      </c>
    </row>
    <row r="146" spans="1:13" x14ac:dyDescent="0.35">
      <c r="A146" t="s">
        <v>459</v>
      </c>
      <c r="B146" s="1">
        <v>45345</v>
      </c>
      <c r="C146" s="3">
        <v>0.98472222222222228</v>
      </c>
      <c r="D146" t="s">
        <v>460</v>
      </c>
      <c r="E146" t="s">
        <v>0</v>
      </c>
      <c r="F146">
        <v>15</v>
      </c>
      <c r="G146" t="s">
        <v>1</v>
      </c>
      <c r="H146" t="s">
        <v>11</v>
      </c>
      <c r="I146" t="s">
        <v>5</v>
      </c>
      <c r="K146">
        <v>38</v>
      </c>
      <c r="L146" t="s">
        <v>497</v>
      </c>
      <c r="M146" t="s">
        <v>494</v>
      </c>
    </row>
    <row r="147" spans="1:13" x14ac:dyDescent="0.35">
      <c r="A147" t="s">
        <v>285</v>
      </c>
      <c r="B147" s="1">
        <v>45343</v>
      </c>
      <c r="C147" s="3">
        <v>0.7680555555555556</v>
      </c>
      <c r="D147" t="s">
        <v>286</v>
      </c>
      <c r="E147" t="s">
        <v>0</v>
      </c>
      <c r="F147">
        <v>9</v>
      </c>
      <c r="G147" t="s">
        <v>7</v>
      </c>
      <c r="H147" t="s">
        <v>11</v>
      </c>
      <c r="I147" t="s">
        <v>5</v>
      </c>
      <c r="K147">
        <v>59</v>
      </c>
      <c r="L147" t="s">
        <v>498</v>
      </c>
      <c r="M147" t="s">
        <v>494</v>
      </c>
    </row>
    <row r="148" spans="1:13" x14ac:dyDescent="0.35">
      <c r="A148" t="s">
        <v>287</v>
      </c>
      <c r="B148" s="1">
        <v>45327</v>
      </c>
      <c r="C148" s="3">
        <v>0.78541666666666665</v>
      </c>
      <c r="D148" t="s">
        <v>288</v>
      </c>
      <c r="E148" t="s">
        <v>0</v>
      </c>
      <c r="F148">
        <v>53</v>
      </c>
      <c r="G148" t="s">
        <v>7</v>
      </c>
      <c r="H148" t="s">
        <v>11</v>
      </c>
      <c r="I148" t="s">
        <v>5</v>
      </c>
      <c r="K148">
        <v>37</v>
      </c>
      <c r="L148" t="s">
        <v>495</v>
      </c>
      <c r="M148" t="s">
        <v>494</v>
      </c>
    </row>
    <row r="149" spans="1:13" x14ac:dyDescent="0.35">
      <c r="A149" t="s">
        <v>27</v>
      </c>
      <c r="B149" s="1">
        <v>45333</v>
      </c>
      <c r="C149" s="3">
        <v>6.3888888888888884E-2</v>
      </c>
      <c r="D149" t="s">
        <v>28</v>
      </c>
      <c r="E149" t="s">
        <v>6</v>
      </c>
      <c r="F149">
        <v>46</v>
      </c>
      <c r="G149" t="s">
        <v>7</v>
      </c>
      <c r="H149" t="s">
        <v>11</v>
      </c>
      <c r="I149" t="s">
        <v>5</v>
      </c>
      <c r="K149">
        <v>12</v>
      </c>
      <c r="L149" t="s">
        <v>500</v>
      </c>
      <c r="M149" t="s">
        <v>492</v>
      </c>
    </row>
    <row r="150" spans="1:13" x14ac:dyDescent="0.35">
      <c r="A150" t="s">
        <v>87</v>
      </c>
      <c r="B150" s="1">
        <v>45348</v>
      </c>
      <c r="C150" s="3">
        <v>0.6645833333333333</v>
      </c>
      <c r="D150" t="s">
        <v>88</v>
      </c>
      <c r="E150" t="s">
        <v>6</v>
      </c>
      <c r="F150">
        <v>1</v>
      </c>
      <c r="G150" t="s">
        <v>7</v>
      </c>
      <c r="H150" t="s">
        <v>11</v>
      </c>
      <c r="I150" t="s">
        <v>5</v>
      </c>
      <c r="K150">
        <v>27</v>
      </c>
      <c r="L150" t="s">
        <v>498</v>
      </c>
      <c r="M150" t="s">
        <v>492</v>
      </c>
    </row>
    <row r="151" spans="1:13" x14ac:dyDescent="0.35">
      <c r="A151" t="s">
        <v>387</v>
      </c>
      <c r="B151" s="1">
        <v>45327</v>
      </c>
      <c r="C151" s="3">
        <v>6.9444444444444448E-2</v>
      </c>
      <c r="D151" t="s">
        <v>388</v>
      </c>
      <c r="E151" t="s">
        <v>0</v>
      </c>
      <c r="F151">
        <v>33</v>
      </c>
      <c r="G151" t="s">
        <v>13</v>
      </c>
      <c r="H151" t="s">
        <v>11</v>
      </c>
      <c r="I151" t="s">
        <v>5</v>
      </c>
      <c r="K151">
        <v>35</v>
      </c>
      <c r="L151" t="s">
        <v>496</v>
      </c>
      <c r="M151" t="s">
        <v>494</v>
      </c>
    </row>
    <row r="152" spans="1:13" x14ac:dyDescent="0.35">
      <c r="A152" t="s">
        <v>107</v>
      </c>
      <c r="B152" s="1">
        <v>45324</v>
      </c>
      <c r="C152" s="3">
        <v>1.8749999999999999E-2</v>
      </c>
      <c r="D152" t="s">
        <v>108</v>
      </c>
      <c r="E152" t="s">
        <v>6</v>
      </c>
      <c r="F152">
        <v>52</v>
      </c>
      <c r="G152" t="s">
        <v>12</v>
      </c>
      <c r="H152" t="s">
        <v>11</v>
      </c>
      <c r="I152" t="s">
        <v>5</v>
      </c>
      <c r="K152">
        <v>58</v>
      </c>
      <c r="L152" t="s">
        <v>495</v>
      </c>
      <c r="M152" t="s">
        <v>494</v>
      </c>
    </row>
    <row r="153" spans="1:13" x14ac:dyDescent="0.35">
      <c r="A153" t="s">
        <v>109</v>
      </c>
      <c r="B153" s="1">
        <v>45332</v>
      </c>
      <c r="C153" s="3">
        <v>0.20972222222222223</v>
      </c>
      <c r="D153" t="s">
        <v>110</v>
      </c>
      <c r="E153" t="s">
        <v>6</v>
      </c>
      <c r="F153">
        <v>71</v>
      </c>
      <c r="G153" t="s">
        <v>12</v>
      </c>
      <c r="H153" t="s">
        <v>11</v>
      </c>
      <c r="I153" t="s">
        <v>5</v>
      </c>
      <c r="K153">
        <v>29</v>
      </c>
      <c r="L153" t="s">
        <v>493</v>
      </c>
      <c r="M153" t="s">
        <v>492</v>
      </c>
    </row>
    <row r="154" spans="1:13" x14ac:dyDescent="0.35">
      <c r="A154" t="s">
        <v>309</v>
      </c>
      <c r="B154" s="1">
        <v>45341</v>
      </c>
      <c r="C154" s="3">
        <v>0.41875000000000001</v>
      </c>
      <c r="D154" t="s">
        <v>310</v>
      </c>
      <c r="E154" t="s">
        <v>0</v>
      </c>
      <c r="F154">
        <v>70</v>
      </c>
      <c r="G154" t="s">
        <v>12</v>
      </c>
      <c r="H154" t="s">
        <v>11</v>
      </c>
      <c r="I154" t="s">
        <v>5</v>
      </c>
      <c r="K154">
        <v>55</v>
      </c>
      <c r="L154" t="s">
        <v>493</v>
      </c>
      <c r="M154" t="s">
        <v>494</v>
      </c>
    </row>
    <row r="155" spans="1:13" x14ac:dyDescent="0.35">
      <c r="A155" t="s">
        <v>311</v>
      </c>
      <c r="B155" s="1">
        <v>45331</v>
      </c>
      <c r="C155" s="3">
        <v>0.51666666666666672</v>
      </c>
      <c r="D155" t="s">
        <v>312</v>
      </c>
      <c r="E155" t="s">
        <v>0</v>
      </c>
      <c r="F155">
        <v>40</v>
      </c>
      <c r="G155" t="s">
        <v>12</v>
      </c>
      <c r="H155" t="s">
        <v>11</v>
      </c>
      <c r="I155" t="s">
        <v>5</v>
      </c>
      <c r="K155">
        <v>33</v>
      </c>
      <c r="L155" t="s">
        <v>500</v>
      </c>
      <c r="M155" t="s">
        <v>494</v>
      </c>
    </row>
    <row r="156" spans="1:13" x14ac:dyDescent="0.35">
      <c r="A156" t="s">
        <v>325</v>
      </c>
      <c r="B156" s="1">
        <v>45332</v>
      </c>
      <c r="C156" s="3">
        <v>0.39583333333333331</v>
      </c>
      <c r="D156" t="s">
        <v>326</v>
      </c>
      <c r="E156" t="s">
        <v>0</v>
      </c>
      <c r="F156">
        <v>30</v>
      </c>
      <c r="G156" t="s">
        <v>16</v>
      </c>
      <c r="H156" t="s">
        <v>11</v>
      </c>
      <c r="I156" t="s">
        <v>5</v>
      </c>
      <c r="K156">
        <v>49</v>
      </c>
      <c r="L156" t="s">
        <v>496</v>
      </c>
      <c r="M156" t="s">
        <v>494</v>
      </c>
    </row>
    <row r="157" spans="1:13" x14ac:dyDescent="0.35">
      <c r="A157" t="s">
        <v>135</v>
      </c>
      <c r="B157" s="1">
        <v>45341</v>
      </c>
      <c r="C157" s="3">
        <v>0.16319444444444445</v>
      </c>
      <c r="D157" t="s">
        <v>136</v>
      </c>
      <c r="E157" t="s">
        <v>6</v>
      </c>
      <c r="F157">
        <v>54</v>
      </c>
      <c r="G157" t="s">
        <v>4</v>
      </c>
      <c r="H157" t="s">
        <v>11</v>
      </c>
      <c r="I157" t="s">
        <v>5</v>
      </c>
      <c r="K157">
        <v>15</v>
      </c>
      <c r="L157" t="s">
        <v>495</v>
      </c>
      <c r="M157" t="s">
        <v>492</v>
      </c>
    </row>
    <row r="158" spans="1:13" x14ac:dyDescent="0.35">
      <c r="A158" t="s">
        <v>147</v>
      </c>
      <c r="B158" s="1">
        <v>45346</v>
      </c>
      <c r="C158" s="3">
        <v>0.64930555555555558</v>
      </c>
      <c r="D158" t="s">
        <v>148</v>
      </c>
      <c r="E158" t="s">
        <v>6</v>
      </c>
      <c r="F158">
        <v>78</v>
      </c>
      <c r="G158" t="s">
        <v>15</v>
      </c>
      <c r="H158" t="s">
        <v>11</v>
      </c>
      <c r="I158" t="s">
        <v>5</v>
      </c>
      <c r="K158">
        <v>37</v>
      </c>
      <c r="L158" t="s">
        <v>493</v>
      </c>
      <c r="M158" t="s">
        <v>494</v>
      </c>
    </row>
    <row r="159" spans="1:13" x14ac:dyDescent="0.35">
      <c r="A159" t="s">
        <v>171</v>
      </c>
      <c r="B159" s="1">
        <v>45343</v>
      </c>
      <c r="C159" s="3">
        <v>0.12013888888888889</v>
      </c>
      <c r="D159" t="s">
        <v>172</v>
      </c>
      <c r="E159" t="s">
        <v>6</v>
      </c>
      <c r="F159">
        <v>60</v>
      </c>
      <c r="G159" t="s">
        <v>13</v>
      </c>
      <c r="H159" t="s">
        <v>17</v>
      </c>
      <c r="I159" t="s">
        <v>5</v>
      </c>
      <c r="K159">
        <v>21</v>
      </c>
      <c r="L159" t="s">
        <v>499</v>
      </c>
      <c r="M159" t="s">
        <v>492</v>
      </c>
    </row>
    <row r="160" spans="1:13" x14ac:dyDescent="0.35">
      <c r="A160" t="s">
        <v>289</v>
      </c>
      <c r="B160" s="1">
        <v>45348</v>
      </c>
      <c r="C160" s="3">
        <v>0.31944444444444442</v>
      </c>
      <c r="D160" t="s">
        <v>290</v>
      </c>
      <c r="E160" t="s">
        <v>0</v>
      </c>
      <c r="F160">
        <v>8</v>
      </c>
      <c r="G160" t="s">
        <v>7</v>
      </c>
      <c r="H160" t="s">
        <v>17</v>
      </c>
      <c r="I160" t="s">
        <v>5</v>
      </c>
      <c r="K160">
        <v>47</v>
      </c>
      <c r="L160" t="s">
        <v>498</v>
      </c>
      <c r="M160" t="s">
        <v>494</v>
      </c>
    </row>
    <row r="161" spans="1:13" x14ac:dyDescent="0.35">
      <c r="A161" t="s">
        <v>461</v>
      </c>
      <c r="B161" s="1">
        <v>45348</v>
      </c>
      <c r="C161" s="3">
        <v>0.19583333333333333</v>
      </c>
      <c r="D161" t="s">
        <v>462</v>
      </c>
      <c r="E161" t="s">
        <v>0</v>
      </c>
      <c r="F161">
        <v>60</v>
      </c>
      <c r="G161" t="s">
        <v>1</v>
      </c>
      <c r="H161" t="s">
        <v>17</v>
      </c>
      <c r="I161" t="s">
        <v>5</v>
      </c>
      <c r="K161">
        <v>59</v>
      </c>
      <c r="L161" t="s">
        <v>499</v>
      </c>
      <c r="M161" t="s">
        <v>494</v>
      </c>
    </row>
    <row r="162" spans="1:13" x14ac:dyDescent="0.35">
      <c r="A162" t="s">
        <v>229</v>
      </c>
      <c r="B162" s="1">
        <v>45343</v>
      </c>
      <c r="C162" s="3">
        <v>0.8618055555555556</v>
      </c>
      <c r="D162" t="s">
        <v>230</v>
      </c>
      <c r="E162" t="s">
        <v>0</v>
      </c>
      <c r="F162">
        <v>36</v>
      </c>
      <c r="G162" t="s">
        <v>7</v>
      </c>
      <c r="H162" t="s">
        <v>19</v>
      </c>
      <c r="I162" t="s">
        <v>5</v>
      </c>
      <c r="K162">
        <v>24</v>
      </c>
      <c r="L162" t="s">
        <v>496</v>
      </c>
      <c r="M162" t="s">
        <v>492</v>
      </c>
    </row>
    <row r="163" spans="1:13" x14ac:dyDescent="0.35">
      <c r="A163" t="s">
        <v>231</v>
      </c>
      <c r="B163" s="1">
        <v>45348</v>
      </c>
      <c r="C163" s="3">
        <v>0.76458333333333328</v>
      </c>
      <c r="D163" t="s">
        <v>232</v>
      </c>
      <c r="E163" t="s">
        <v>0</v>
      </c>
      <c r="F163">
        <v>43</v>
      </c>
      <c r="G163" t="s">
        <v>7</v>
      </c>
      <c r="H163" t="s">
        <v>19</v>
      </c>
      <c r="I163" t="s">
        <v>5</v>
      </c>
      <c r="K163">
        <v>27</v>
      </c>
      <c r="L163" t="s">
        <v>500</v>
      </c>
      <c r="M163" t="s">
        <v>492</v>
      </c>
    </row>
    <row r="164" spans="1:13" x14ac:dyDescent="0.35">
      <c r="A164" t="s">
        <v>293</v>
      </c>
      <c r="B164" s="1">
        <v>45345</v>
      </c>
      <c r="C164" s="3">
        <v>0.45347222222222222</v>
      </c>
      <c r="D164" t="s">
        <v>294</v>
      </c>
      <c r="E164" t="s">
        <v>0</v>
      </c>
      <c r="F164">
        <v>44</v>
      </c>
      <c r="G164" t="s">
        <v>12</v>
      </c>
      <c r="H164" t="s">
        <v>19</v>
      </c>
      <c r="I164" t="s">
        <v>5</v>
      </c>
      <c r="K164">
        <v>58</v>
      </c>
      <c r="L164" t="s">
        <v>500</v>
      </c>
      <c r="M164" t="s">
        <v>494</v>
      </c>
    </row>
    <row r="165" spans="1:13" x14ac:dyDescent="0.35">
      <c r="A165" t="s">
        <v>391</v>
      </c>
      <c r="B165" s="1">
        <v>45338</v>
      </c>
      <c r="C165" s="3">
        <v>0.90625</v>
      </c>
      <c r="D165" t="s">
        <v>392</v>
      </c>
      <c r="E165" t="s">
        <v>0</v>
      </c>
      <c r="F165">
        <v>31</v>
      </c>
      <c r="G165" t="s">
        <v>1</v>
      </c>
      <c r="H165" t="s">
        <v>19</v>
      </c>
      <c r="I165" t="s">
        <v>5</v>
      </c>
      <c r="K165">
        <v>29</v>
      </c>
      <c r="L165" t="s">
        <v>496</v>
      </c>
      <c r="M165" t="s">
        <v>492</v>
      </c>
    </row>
    <row r="166" spans="1:13" x14ac:dyDescent="0.35">
      <c r="A166" t="s">
        <v>139</v>
      </c>
      <c r="B166" s="1">
        <v>45349</v>
      </c>
      <c r="C166" s="3">
        <v>0.20208333333333334</v>
      </c>
      <c r="D166" t="s">
        <v>140</v>
      </c>
      <c r="E166" t="s">
        <v>6</v>
      </c>
      <c r="F166">
        <v>19</v>
      </c>
      <c r="G166" t="s">
        <v>15</v>
      </c>
      <c r="H166" t="s">
        <v>18</v>
      </c>
      <c r="I166" t="s">
        <v>5</v>
      </c>
      <c r="K166">
        <v>36</v>
      </c>
      <c r="L166" t="s">
        <v>497</v>
      </c>
      <c r="M166" t="s">
        <v>494</v>
      </c>
    </row>
    <row r="167" spans="1:13" x14ac:dyDescent="0.35">
      <c r="A167" t="s">
        <v>255</v>
      </c>
      <c r="B167" s="1">
        <v>45339</v>
      </c>
      <c r="C167" s="3">
        <v>0.98472222222222228</v>
      </c>
      <c r="D167" t="s">
        <v>256</v>
      </c>
      <c r="E167" t="s">
        <v>0</v>
      </c>
      <c r="F167">
        <v>41</v>
      </c>
      <c r="G167" t="s">
        <v>7</v>
      </c>
      <c r="H167" t="s">
        <v>18</v>
      </c>
      <c r="I167" t="s">
        <v>5</v>
      </c>
      <c r="K167">
        <v>23</v>
      </c>
      <c r="L167" t="s">
        <v>500</v>
      </c>
      <c r="M167" t="s">
        <v>492</v>
      </c>
    </row>
    <row r="168" spans="1:13" x14ac:dyDescent="0.35">
      <c r="A168" t="s">
        <v>257</v>
      </c>
      <c r="B168" s="1">
        <v>45350</v>
      </c>
      <c r="C168" s="3">
        <v>0.88472222222222219</v>
      </c>
      <c r="D168" t="s">
        <v>258</v>
      </c>
      <c r="E168" t="s">
        <v>0</v>
      </c>
      <c r="F168">
        <v>8</v>
      </c>
      <c r="G168" t="s">
        <v>7</v>
      </c>
      <c r="H168" t="s">
        <v>18</v>
      </c>
      <c r="I168" t="s">
        <v>5</v>
      </c>
      <c r="K168">
        <v>31</v>
      </c>
      <c r="L168" t="s">
        <v>498</v>
      </c>
      <c r="M168" t="s">
        <v>494</v>
      </c>
    </row>
    <row r="169" spans="1:13" x14ac:dyDescent="0.35">
      <c r="A169" t="s">
        <v>313</v>
      </c>
      <c r="B169" s="1">
        <v>45342</v>
      </c>
      <c r="C169" s="3">
        <v>2.9861111111111113E-2</v>
      </c>
      <c r="D169" t="s">
        <v>314</v>
      </c>
      <c r="E169" t="s">
        <v>0</v>
      </c>
      <c r="F169">
        <v>68</v>
      </c>
      <c r="G169" t="s">
        <v>16</v>
      </c>
      <c r="H169" t="s">
        <v>14</v>
      </c>
      <c r="I169" t="s">
        <v>5</v>
      </c>
      <c r="K169">
        <v>60</v>
      </c>
      <c r="L169" t="s">
        <v>499</v>
      </c>
      <c r="M169" t="s">
        <v>494</v>
      </c>
    </row>
    <row r="170" spans="1:13" x14ac:dyDescent="0.35">
      <c r="A170" t="s">
        <v>111</v>
      </c>
      <c r="B170" s="1">
        <v>45340</v>
      </c>
      <c r="C170" s="3">
        <v>0.84861111111111109</v>
      </c>
      <c r="D170" t="s">
        <v>112</v>
      </c>
      <c r="E170" t="s">
        <v>6</v>
      </c>
      <c r="F170">
        <v>13</v>
      </c>
      <c r="G170" t="s">
        <v>12</v>
      </c>
      <c r="H170" t="s">
        <v>20</v>
      </c>
      <c r="I170" t="s">
        <v>5</v>
      </c>
      <c r="K170">
        <v>27</v>
      </c>
      <c r="L170" t="s">
        <v>497</v>
      </c>
      <c r="M170" t="s">
        <v>492</v>
      </c>
    </row>
    <row r="171" spans="1:13" x14ac:dyDescent="0.35">
      <c r="A171" t="s">
        <v>113</v>
      </c>
      <c r="B171" s="1">
        <v>45346</v>
      </c>
      <c r="C171" s="3">
        <v>0.21180555555555555</v>
      </c>
      <c r="D171" t="s">
        <v>114</v>
      </c>
      <c r="E171" t="s">
        <v>6</v>
      </c>
      <c r="F171">
        <v>43</v>
      </c>
      <c r="G171" t="s">
        <v>12</v>
      </c>
      <c r="H171" t="s">
        <v>20</v>
      </c>
      <c r="I171" t="s">
        <v>5</v>
      </c>
      <c r="K171">
        <v>14</v>
      </c>
      <c r="L171" t="s">
        <v>500</v>
      </c>
      <c r="M171" t="s">
        <v>492</v>
      </c>
    </row>
    <row r="172" spans="1:13" x14ac:dyDescent="0.35">
      <c r="A172" t="s">
        <v>115</v>
      </c>
      <c r="B172" s="1">
        <v>45349</v>
      </c>
      <c r="C172" s="3">
        <v>0.87152777777777779</v>
      </c>
      <c r="D172" t="s">
        <v>116</v>
      </c>
      <c r="E172" t="s">
        <v>6</v>
      </c>
      <c r="F172">
        <v>36</v>
      </c>
      <c r="G172" t="s">
        <v>12</v>
      </c>
      <c r="H172" t="s">
        <v>20</v>
      </c>
      <c r="I172" t="s">
        <v>5</v>
      </c>
      <c r="K172">
        <v>42</v>
      </c>
      <c r="L172" t="s">
        <v>496</v>
      </c>
      <c r="M172" t="s">
        <v>494</v>
      </c>
    </row>
    <row r="173" spans="1:13" x14ac:dyDescent="0.35">
      <c r="A173" t="s">
        <v>31</v>
      </c>
      <c r="B173" s="1">
        <v>45339</v>
      </c>
      <c r="C173" s="3">
        <v>2.6388888888888889E-2</v>
      </c>
      <c r="D173" t="s">
        <v>32</v>
      </c>
      <c r="E173" t="s">
        <v>0</v>
      </c>
      <c r="F173">
        <v>26</v>
      </c>
      <c r="G173" t="s">
        <v>12</v>
      </c>
      <c r="H173" t="s">
        <v>17</v>
      </c>
      <c r="I173" t="s">
        <v>5</v>
      </c>
      <c r="J173">
        <v>9</v>
      </c>
      <c r="K173">
        <v>59</v>
      </c>
      <c r="L173" t="s">
        <v>491</v>
      </c>
      <c r="M173" t="s">
        <v>494</v>
      </c>
    </row>
    <row r="174" spans="1:13" x14ac:dyDescent="0.35">
      <c r="A174" t="s">
        <v>63</v>
      </c>
      <c r="B174" s="1">
        <v>45327</v>
      </c>
      <c r="C174" s="3">
        <v>0.7319444444444444</v>
      </c>
      <c r="D174" t="s">
        <v>64</v>
      </c>
      <c r="E174" t="s">
        <v>6</v>
      </c>
      <c r="F174">
        <v>38</v>
      </c>
      <c r="G174" t="s">
        <v>7</v>
      </c>
      <c r="H174" t="s">
        <v>18</v>
      </c>
      <c r="I174" t="s">
        <v>5</v>
      </c>
      <c r="J174">
        <v>2</v>
      </c>
      <c r="K174">
        <v>38</v>
      </c>
      <c r="L174" t="s">
        <v>496</v>
      </c>
      <c r="M174" t="s">
        <v>494</v>
      </c>
    </row>
    <row r="175" spans="1:13" x14ac:dyDescent="0.35">
      <c r="A175" t="s">
        <v>89</v>
      </c>
      <c r="B175" s="1">
        <v>45351</v>
      </c>
      <c r="C175" s="3">
        <v>0.78472222222222221</v>
      </c>
      <c r="D175" t="s">
        <v>90</v>
      </c>
      <c r="E175" t="s">
        <v>6</v>
      </c>
      <c r="F175">
        <v>31</v>
      </c>
      <c r="G175" t="s">
        <v>7</v>
      </c>
      <c r="H175" t="s">
        <v>17</v>
      </c>
      <c r="I175" t="s">
        <v>5</v>
      </c>
      <c r="J175">
        <v>0</v>
      </c>
      <c r="K175">
        <v>47</v>
      </c>
      <c r="L175" t="s">
        <v>496</v>
      </c>
      <c r="M175" t="s">
        <v>494</v>
      </c>
    </row>
    <row r="176" spans="1:13" x14ac:dyDescent="0.35">
      <c r="A176" t="s">
        <v>233</v>
      </c>
      <c r="B176" s="1">
        <v>45344</v>
      </c>
      <c r="C176" s="3">
        <v>0.69027777777777777</v>
      </c>
      <c r="D176" t="s">
        <v>234</v>
      </c>
      <c r="E176" t="s">
        <v>0</v>
      </c>
      <c r="F176">
        <v>59</v>
      </c>
      <c r="G176" t="s">
        <v>7</v>
      </c>
      <c r="H176" t="s">
        <v>14</v>
      </c>
      <c r="I176" t="s">
        <v>5</v>
      </c>
      <c r="J176">
        <v>10</v>
      </c>
      <c r="K176">
        <v>46</v>
      </c>
      <c r="L176" t="s">
        <v>495</v>
      </c>
      <c r="M176" t="s">
        <v>494</v>
      </c>
    </row>
    <row r="177" spans="1:13" x14ac:dyDescent="0.35">
      <c r="A177" t="s">
        <v>291</v>
      </c>
      <c r="B177" s="1">
        <v>45327</v>
      </c>
      <c r="C177" s="3">
        <v>0.3</v>
      </c>
      <c r="D177" t="s">
        <v>292</v>
      </c>
      <c r="E177" t="s">
        <v>0</v>
      </c>
      <c r="F177">
        <v>12</v>
      </c>
      <c r="G177" t="s">
        <v>7</v>
      </c>
      <c r="H177" t="s">
        <v>17</v>
      </c>
      <c r="I177" t="s">
        <v>5</v>
      </c>
      <c r="J177">
        <v>0</v>
      </c>
      <c r="K177">
        <v>45</v>
      </c>
      <c r="L177" t="s">
        <v>497</v>
      </c>
      <c r="M177" t="s">
        <v>494</v>
      </c>
    </row>
    <row r="178" spans="1:13" x14ac:dyDescent="0.35">
      <c r="A178" t="s">
        <v>393</v>
      </c>
      <c r="B178" s="1">
        <v>45324</v>
      </c>
      <c r="C178" s="3">
        <v>0.58888888888888891</v>
      </c>
      <c r="D178" t="s">
        <v>394</v>
      </c>
      <c r="E178" t="s">
        <v>0</v>
      </c>
      <c r="F178">
        <v>61</v>
      </c>
      <c r="G178" t="s">
        <v>1</v>
      </c>
      <c r="H178" t="s">
        <v>14</v>
      </c>
      <c r="I178" t="s">
        <v>5</v>
      </c>
      <c r="J178">
        <v>8</v>
      </c>
      <c r="K178">
        <v>58</v>
      </c>
      <c r="L178" t="s">
        <v>499</v>
      </c>
      <c r="M178" t="s">
        <v>494</v>
      </c>
    </row>
    <row r="179" spans="1:13" x14ac:dyDescent="0.35">
      <c r="A179" t="s">
        <v>463</v>
      </c>
      <c r="B179" s="1">
        <v>45336</v>
      </c>
      <c r="C179" s="3">
        <v>0.95972222222222225</v>
      </c>
      <c r="D179" t="s">
        <v>464</v>
      </c>
      <c r="E179" t="s">
        <v>0</v>
      </c>
      <c r="F179">
        <v>42</v>
      </c>
      <c r="G179" t="s">
        <v>1</v>
      </c>
      <c r="H179" t="s">
        <v>17</v>
      </c>
      <c r="I179" t="s">
        <v>5</v>
      </c>
      <c r="J179">
        <v>4</v>
      </c>
      <c r="K179">
        <v>39</v>
      </c>
      <c r="L179" t="s">
        <v>500</v>
      </c>
      <c r="M179" t="s">
        <v>494</v>
      </c>
    </row>
    <row r="180" spans="1:13" x14ac:dyDescent="0.35">
      <c r="A180" t="s">
        <v>465</v>
      </c>
      <c r="B180" s="1">
        <v>45340</v>
      </c>
      <c r="C180" s="3">
        <v>0.4826388888888889</v>
      </c>
      <c r="D180" t="s">
        <v>466</v>
      </c>
      <c r="E180" t="s">
        <v>0</v>
      </c>
      <c r="F180">
        <v>30</v>
      </c>
      <c r="G180" t="s">
        <v>1</v>
      </c>
      <c r="H180" t="s">
        <v>17</v>
      </c>
      <c r="I180" t="s">
        <v>5</v>
      </c>
      <c r="J180">
        <v>8</v>
      </c>
      <c r="K180">
        <v>58</v>
      </c>
      <c r="L180" t="s">
        <v>496</v>
      </c>
      <c r="M180" t="s">
        <v>494</v>
      </c>
    </row>
    <row r="181" spans="1:13" x14ac:dyDescent="0.35">
      <c r="A181" t="s">
        <v>25</v>
      </c>
      <c r="B181" s="1">
        <v>45338</v>
      </c>
      <c r="C181" s="3">
        <v>0.33680555555555558</v>
      </c>
      <c r="D181" t="s">
        <v>26</v>
      </c>
      <c r="E181" t="s">
        <v>0</v>
      </c>
      <c r="F181">
        <v>78</v>
      </c>
      <c r="G181" t="s">
        <v>4</v>
      </c>
      <c r="H181" t="s">
        <v>11</v>
      </c>
      <c r="I181" t="s">
        <v>5</v>
      </c>
      <c r="J181">
        <v>1</v>
      </c>
      <c r="K181">
        <v>28</v>
      </c>
      <c r="L181" t="s">
        <v>493</v>
      </c>
      <c r="M181" t="s">
        <v>492</v>
      </c>
    </row>
    <row r="182" spans="1:13" x14ac:dyDescent="0.35">
      <c r="A182" t="s">
        <v>169</v>
      </c>
      <c r="B182" s="1">
        <v>45330</v>
      </c>
      <c r="C182" s="3">
        <v>0.50347222222222221</v>
      </c>
      <c r="D182" t="s">
        <v>170</v>
      </c>
      <c r="E182" t="s">
        <v>6</v>
      </c>
      <c r="F182">
        <v>33</v>
      </c>
      <c r="G182" t="s">
        <v>13</v>
      </c>
      <c r="H182" t="s">
        <v>11</v>
      </c>
      <c r="I182" t="s">
        <v>5</v>
      </c>
      <c r="J182">
        <v>4</v>
      </c>
      <c r="K182">
        <v>48</v>
      </c>
      <c r="L182" t="s">
        <v>496</v>
      </c>
      <c r="M182" t="s">
        <v>494</v>
      </c>
    </row>
    <row r="183" spans="1:13" x14ac:dyDescent="0.35">
      <c r="A183" t="s">
        <v>337</v>
      </c>
      <c r="B183" s="1">
        <v>45351</v>
      </c>
      <c r="C183" s="3">
        <v>2.7777777777777776E-2</v>
      </c>
      <c r="D183" t="s">
        <v>338</v>
      </c>
      <c r="E183" t="s">
        <v>0</v>
      </c>
      <c r="F183">
        <v>73</v>
      </c>
      <c r="G183" t="s">
        <v>4</v>
      </c>
      <c r="H183" t="s">
        <v>11</v>
      </c>
      <c r="I183" t="s">
        <v>5</v>
      </c>
      <c r="J183">
        <v>2</v>
      </c>
      <c r="K183">
        <v>53</v>
      </c>
      <c r="L183" t="s">
        <v>493</v>
      </c>
      <c r="M183" t="s">
        <v>494</v>
      </c>
    </row>
    <row r="184" spans="1:13" x14ac:dyDescent="0.35">
      <c r="A184" t="s">
        <v>347</v>
      </c>
      <c r="B184" s="1">
        <v>45333</v>
      </c>
      <c r="C184" s="3">
        <v>0.59722222222222221</v>
      </c>
      <c r="D184" t="s">
        <v>348</v>
      </c>
      <c r="E184" t="s">
        <v>0</v>
      </c>
      <c r="F184">
        <v>72</v>
      </c>
      <c r="G184" t="s">
        <v>15</v>
      </c>
      <c r="H184" t="s">
        <v>11</v>
      </c>
      <c r="I184" t="s">
        <v>5</v>
      </c>
      <c r="J184">
        <v>9</v>
      </c>
      <c r="K184">
        <v>47</v>
      </c>
      <c r="L184" t="s">
        <v>493</v>
      </c>
      <c r="M184" t="s">
        <v>494</v>
      </c>
    </row>
    <row r="185" spans="1:13" x14ac:dyDescent="0.35">
      <c r="A185" t="s">
        <v>389</v>
      </c>
      <c r="B185" s="1">
        <v>45330</v>
      </c>
      <c r="C185" s="3">
        <v>0.78611111111111109</v>
      </c>
      <c r="D185" t="s">
        <v>390</v>
      </c>
      <c r="E185" t="s">
        <v>0</v>
      </c>
      <c r="F185">
        <v>35</v>
      </c>
      <c r="G185" t="s">
        <v>13</v>
      </c>
      <c r="H185" t="s">
        <v>11</v>
      </c>
      <c r="I185" t="s">
        <v>5</v>
      </c>
      <c r="J185">
        <v>9</v>
      </c>
      <c r="K185">
        <v>42</v>
      </c>
      <c r="L185" t="s">
        <v>496</v>
      </c>
      <c r="M185" t="s">
        <v>494</v>
      </c>
    </row>
    <row r="186" spans="1:13" x14ac:dyDescent="0.35">
      <c r="A186" t="s">
        <v>227</v>
      </c>
      <c r="B186" s="1">
        <v>45345</v>
      </c>
      <c r="C186" s="3">
        <v>0.84444444444444444</v>
      </c>
      <c r="D186" t="s">
        <v>228</v>
      </c>
      <c r="E186" t="s">
        <v>6</v>
      </c>
      <c r="F186">
        <v>54</v>
      </c>
      <c r="G186" t="s">
        <v>1</v>
      </c>
      <c r="H186" t="s">
        <v>11</v>
      </c>
      <c r="I186" t="s">
        <v>5</v>
      </c>
      <c r="J186">
        <v>1</v>
      </c>
      <c r="K186">
        <v>60</v>
      </c>
      <c r="L186" t="s">
        <v>495</v>
      </c>
      <c r="M186" t="s">
        <v>494</v>
      </c>
    </row>
    <row r="187" spans="1:13" x14ac:dyDescent="0.35">
      <c r="A187" t="s">
        <v>359</v>
      </c>
      <c r="B187" s="1">
        <v>45329</v>
      </c>
      <c r="C187" s="3">
        <v>0.9194444444444444</v>
      </c>
      <c r="D187" t="s">
        <v>360</v>
      </c>
      <c r="E187" t="s">
        <v>0</v>
      </c>
      <c r="F187">
        <v>44</v>
      </c>
      <c r="G187" t="s">
        <v>13</v>
      </c>
      <c r="H187" t="s">
        <v>8</v>
      </c>
      <c r="I187" t="s">
        <v>5</v>
      </c>
      <c r="J187">
        <v>0</v>
      </c>
      <c r="K187">
        <v>32</v>
      </c>
      <c r="L187" t="s">
        <v>500</v>
      </c>
      <c r="M187" t="s">
        <v>494</v>
      </c>
    </row>
    <row r="188" spans="1:13" x14ac:dyDescent="0.35">
      <c r="A188" t="s">
        <v>361</v>
      </c>
      <c r="B188" s="1">
        <v>45323</v>
      </c>
      <c r="C188" s="3">
        <v>0.87013888888888891</v>
      </c>
      <c r="D188" t="s">
        <v>362</v>
      </c>
      <c r="E188" t="s">
        <v>0</v>
      </c>
      <c r="F188">
        <v>21</v>
      </c>
      <c r="G188" t="s">
        <v>13</v>
      </c>
      <c r="H188" t="s">
        <v>8</v>
      </c>
      <c r="I188" t="s">
        <v>5</v>
      </c>
      <c r="J188">
        <v>4</v>
      </c>
      <c r="K188">
        <v>36</v>
      </c>
      <c r="L188" t="s">
        <v>491</v>
      </c>
      <c r="M188" t="s">
        <v>494</v>
      </c>
    </row>
    <row r="189" spans="1:13" x14ac:dyDescent="0.35">
      <c r="A189" t="s">
        <v>9</v>
      </c>
      <c r="B189" s="1">
        <v>45326</v>
      </c>
      <c r="C189" s="3">
        <v>0.94027777777777777</v>
      </c>
      <c r="D189" t="s">
        <v>10</v>
      </c>
      <c r="E189" t="s">
        <v>6</v>
      </c>
      <c r="F189">
        <v>24</v>
      </c>
      <c r="G189" t="s">
        <v>4</v>
      </c>
      <c r="H189" t="s">
        <v>8</v>
      </c>
      <c r="I189" t="s">
        <v>5</v>
      </c>
      <c r="J189">
        <v>8</v>
      </c>
      <c r="K189">
        <v>31</v>
      </c>
      <c r="L189" t="s">
        <v>491</v>
      </c>
      <c r="M189" t="s">
        <v>494</v>
      </c>
    </row>
    <row r="190" spans="1:13" x14ac:dyDescent="0.35">
      <c r="A190" t="s">
        <v>137</v>
      </c>
      <c r="B190" s="1">
        <v>45328</v>
      </c>
      <c r="C190" s="3">
        <v>0.30069444444444443</v>
      </c>
      <c r="D190" t="s">
        <v>138</v>
      </c>
      <c r="E190" t="s">
        <v>6</v>
      </c>
      <c r="F190">
        <v>58</v>
      </c>
      <c r="G190" t="s">
        <v>15</v>
      </c>
      <c r="H190" t="s">
        <v>8</v>
      </c>
      <c r="I190" t="s">
        <v>5</v>
      </c>
      <c r="J190">
        <v>7</v>
      </c>
      <c r="K190">
        <v>24</v>
      </c>
      <c r="L190" t="s">
        <v>495</v>
      </c>
      <c r="M190" t="s">
        <v>492</v>
      </c>
    </row>
    <row r="191" spans="1:13" x14ac:dyDescent="0.35">
      <c r="A191" t="s">
        <v>329</v>
      </c>
      <c r="B191" s="1">
        <v>45345</v>
      </c>
      <c r="C191" s="3">
        <v>1.9444444444444445E-2</v>
      </c>
      <c r="D191" t="s">
        <v>330</v>
      </c>
      <c r="E191" t="s">
        <v>0</v>
      </c>
      <c r="F191">
        <v>42</v>
      </c>
      <c r="G191" t="s">
        <v>4</v>
      </c>
      <c r="H191" t="s">
        <v>8</v>
      </c>
      <c r="I191" t="s">
        <v>5</v>
      </c>
      <c r="J191">
        <v>9</v>
      </c>
      <c r="K191">
        <v>19</v>
      </c>
      <c r="L191" t="s">
        <v>500</v>
      </c>
      <c r="M191" t="s">
        <v>492</v>
      </c>
    </row>
    <row r="192" spans="1:13" x14ac:dyDescent="0.35">
      <c r="A192" t="s">
        <v>251</v>
      </c>
      <c r="B192" s="1">
        <v>45331</v>
      </c>
      <c r="C192" s="3">
        <v>0.59791666666666665</v>
      </c>
      <c r="D192" t="s">
        <v>252</v>
      </c>
      <c r="E192" t="s">
        <v>0</v>
      </c>
      <c r="F192">
        <v>65</v>
      </c>
      <c r="G192" t="s">
        <v>7</v>
      </c>
      <c r="H192" t="s">
        <v>8</v>
      </c>
      <c r="I192" t="s">
        <v>5</v>
      </c>
      <c r="J192">
        <v>5</v>
      </c>
      <c r="K192">
        <v>25</v>
      </c>
      <c r="L192" t="s">
        <v>499</v>
      </c>
      <c r="M192" t="s">
        <v>492</v>
      </c>
    </row>
    <row r="193" spans="1:13" x14ac:dyDescent="0.35">
      <c r="A193" t="s">
        <v>253</v>
      </c>
      <c r="B193" s="1">
        <v>45350</v>
      </c>
      <c r="C193" s="3">
        <v>4.3055555555555555E-2</v>
      </c>
      <c r="D193" t="s">
        <v>254</v>
      </c>
      <c r="E193" t="s">
        <v>0</v>
      </c>
      <c r="F193">
        <v>37</v>
      </c>
      <c r="G193" t="s">
        <v>7</v>
      </c>
      <c r="H193" t="s">
        <v>8</v>
      </c>
      <c r="I193" t="s">
        <v>5</v>
      </c>
      <c r="J193">
        <v>10</v>
      </c>
      <c r="K193">
        <v>15</v>
      </c>
      <c r="L193" t="s">
        <v>496</v>
      </c>
      <c r="M193" t="s">
        <v>492</v>
      </c>
    </row>
    <row r="194" spans="1:13" x14ac:dyDescent="0.35">
      <c r="A194" t="s">
        <v>399</v>
      </c>
      <c r="B194" s="1">
        <v>45334</v>
      </c>
      <c r="C194" s="3">
        <v>0.16319444444444445</v>
      </c>
      <c r="D194" t="s">
        <v>400</v>
      </c>
      <c r="E194" t="s">
        <v>0</v>
      </c>
      <c r="F194">
        <v>70</v>
      </c>
      <c r="G194" t="s">
        <v>1</v>
      </c>
      <c r="H194" t="s">
        <v>8</v>
      </c>
      <c r="I194" t="s">
        <v>5</v>
      </c>
      <c r="J194">
        <v>6</v>
      </c>
      <c r="K194">
        <v>51</v>
      </c>
      <c r="L194" t="s">
        <v>493</v>
      </c>
      <c r="M194" t="s">
        <v>494</v>
      </c>
    </row>
    <row r="195" spans="1:13" x14ac:dyDescent="0.35">
      <c r="A195" t="s">
        <v>401</v>
      </c>
      <c r="B195" s="1">
        <v>45330</v>
      </c>
      <c r="C195" s="3">
        <v>0.92708333333333337</v>
      </c>
      <c r="D195" t="s">
        <v>402</v>
      </c>
      <c r="E195" t="s">
        <v>0</v>
      </c>
      <c r="F195">
        <v>26</v>
      </c>
      <c r="G195" t="s">
        <v>1</v>
      </c>
      <c r="H195" t="s">
        <v>8</v>
      </c>
      <c r="I195" t="s">
        <v>5</v>
      </c>
      <c r="J195">
        <v>7</v>
      </c>
      <c r="K195">
        <v>56</v>
      </c>
      <c r="L195" t="s">
        <v>491</v>
      </c>
      <c r="M195" t="s">
        <v>494</v>
      </c>
    </row>
    <row r="196" spans="1:13" x14ac:dyDescent="0.35">
      <c r="A196" t="s">
        <v>39</v>
      </c>
      <c r="B196" s="1">
        <v>45349</v>
      </c>
      <c r="C196" s="3">
        <v>0.21736111111111112</v>
      </c>
      <c r="D196" t="s">
        <v>40</v>
      </c>
      <c r="E196" t="s">
        <v>6</v>
      </c>
      <c r="F196">
        <v>78</v>
      </c>
      <c r="G196" t="s">
        <v>1</v>
      </c>
      <c r="H196" t="s">
        <v>8</v>
      </c>
      <c r="I196" t="s">
        <v>5</v>
      </c>
      <c r="J196">
        <v>9</v>
      </c>
      <c r="K196">
        <v>42</v>
      </c>
      <c r="L196" t="s">
        <v>493</v>
      </c>
      <c r="M196" t="s">
        <v>494</v>
      </c>
    </row>
    <row r="197" spans="1:13" x14ac:dyDescent="0.35">
      <c r="A197" t="s">
        <v>183</v>
      </c>
      <c r="B197" s="1">
        <v>45336</v>
      </c>
      <c r="C197" s="3">
        <v>0.35416666666666669</v>
      </c>
      <c r="D197" t="s">
        <v>184</v>
      </c>
      <c r="E197" t="s">
        <v>6</v>
      </c>
      <c r="F197">
        <v>18</v>
      </c>
      <c r="G197" t="s">
        <v>1</v>
      </c>
      <c r="H197" t="s">
        <v>8</v>
      </c>
      <c r="I197" t="s">
        <v>5</v>
      </c>
      <c r="J197">
        <v>0</v>
      </c>
      <c r="K197">
        <v>10</v>
      </c>
      <c r="L197" t="s">
        <v>497</v>
      </c>
      <c r="M197" t="s">
        <v>492</v>
      </c>
    </row>
    <row r="198" spans="1:13" x14ac:dyDescent="0.35">
      <c r="A198" t="s">
        <v>185</v>
      </c>
      <c r="B198" s="1">
        <v>45324</v>
      </c>
      <c r="C198" s="3">
        <v>0.49722222222222223</v>
      </c>
      <c r="D198" t="s">
        <v>186</v>
      </c>
      <c r="E198" t="s">
        <v>6</v>
      </c>
      <c r="F198">
        <v>22</v>
      </c>
      <c r="G198" t="s">
        <v>1</v>
      </c>
      <c r="H198" t="s">
        <v>8</v>
      </c>
      <c r="I198" t="s">
        <v>5</v>
      </c>
      <c r="J198">
        <v>4</v>
      </c>
      <c r="K198">
        <v>45</v>
      </c>
      <c r="L198" t="s">
        <v>491</v>
      </c>
      <c r="M198" t="s">
        <v>494</v>
      </c>
    </row>
    <row r="199" spans="1:13" x14ac:dyDescent="0.35">
      <c r="A199" t="s">
        <v>187</v>
      </c>
      <c r="B199" s="1">
        <v>45341</v>
      </c>
      <c r="C199" s="3">
        <v>0.78333333333333333</v>
      </c>
      <c r="D199" t="s">
        <v>188</v>
      </c>
      <c r="E199" t="s">
        <v>6</v>
      </c>
      <c r="F199">
        <v>16</v>
      </c>
      <c r="G199" t="s">
        <v>1</v>
      </c>
      <c r="H199" t="s">
        <v>8</v>
      </c>
      <c r="I199" t="s">
        <v>5</v>
      </c>
      <c r="J199">
        <v>7</v>
      </c>
      <c r="K199">
        <v>54</v>
      </c>
      <c r="L199" t="s">
        <v>497</v>
      </c>
      <c r="M199" t="s">
        <v>494</v>
      </c>
    </row>
    <row r="200" spans="1:13" x14ac:dyDescent="0.35">
      <c r="A200" t="s">
        <v>101</v>
      </c>
      <c r="B200" s="1">
        <v>45336</v>
      </c>
      <c r="C200" s="3">
        <v>0.5395833333333333</v>
      </c>
      <c r="D200" t="s">
        <v>102</v>
      </c>
      <c r="E200" t="s">
        <v>6</v>
      </c>
      <c r="F200">
        <v>29</v>
      </c>
      <c r="G200" t="s">
        <v>12</v>
      </c>
      <c r="H200" t="s">
        <v>2</v>
      </c>
      <c r="I200" t="s">
        <v>5</v>
      </c>
      <c r="J200">
        <v>4</v>
      </c>
      <c r="K200">
        <v>43</v>
      </c>
      <c r="L200" t="s">
        <v>491</v>
      </c>
      <c r="M200" t="s">
        <v>494</v>
      </c>
    </row>
    <row r="201" spans="1:13" x14ac:dyDescent="0.35">
      <c r="A201" t="s">
        <v>103</v>
      </c>
      <c r="B201" s="1">
        <v>45340</v>
      </c>
      <c r="C201" s="3">
        <v>0.23472222222222222</v>
      </c>
      <c r="D201" t="s">
        <v>104</v>
      </c>
      <c r="E201" t="s">
        <v>6</v>
      </c>
      <c r="F201">
        <v>64</v>
      </c>
      <c r="G201" t="s">
        <v>12</v>
      </c>
      <c r="H201" t="s">
        <v>2</v>
      </c>
      <c r="I201" t="s">
        <v>5</v>
      </c>
      <c r="J201">
        <v>9</v>
      </c>
      <c r="K201">
        <v>42</v>
      </c>
      <c r="L201" t="s">
        <v>499</v>
      </c>
      <c r="M201" t="s">
        <v>494</v>
      </c>
    </row>
    <row r="202" spans="1:13" x14ac:dyDescent="0.35">
      <c r="A202" t="s">
        <v>105</v>
      </c>
      <c r="B202" s="1">
        <v>45347</v>
      </c>
      <c r="C202" s="3">
        <v>0.62847222222222221</v>
      </c>
      <c r="D202" t="s">
        <v>106</v>
      </c>
      <c r="E202" t="s">
        <v>6</v>
      </c>
      <c r="F202">
        <v>40</v>
      </c>
      <c r="G202" t="s">
        <v>12</v>
      </c>
      <c r="H202" t="s">
        <v>2</v>
      </c>
      <c r="I202" t="s">
        <v>5</v>
      </c>
      <c r="J202">
        <v>10</v>
      </c>
      <c r="K202">
        <v>36</v>
      </c>
      <c r="L202" t="s">
        <v>500</v>
      </c>
      <c r="M202" t="s">
        <v>494</v>
      </c>
    </row>
    <row r="203" spans="1:13" x14ac:dyDescent="0.35">
      <c r="A203" t="s">
        <v>307</v>
      </c>
      <c r="B203" s="1">
        <v>45350</v>
      </c>
      <c r="C203" s="3">
        <v>0.17708333333333334</v>
      </c>
      <c r="D203" t="s">
        <v>308</v>
      </c>
      <c r="E203" t="s">
        <v>0</v>
      </c>
      <c r="F203">
        <v>68</v>
      </c>
      <c r="G203" t="s">
        <v>12</v>
      </c>
      <c r="H203" t="s">
        <v>2</v>
      </c>
      <c r="I203" t="s">
        <v>5</v>
      </c>
      <c r="J203">
        <v>4</v>
      </c>
      <c r="K203">
        <v>45</v>
      </c>
      <c r="L203" t="s">
        <v>499</v>
      </c>
      <c r="M203" t="s">
        <v>494</v>
      </c>
    </row>
    <row r="204" spans="1:13" x14ac:dyDescent="0.35">
      <c r="A204" t="s">
        <v>125</v>
      </c>
      <c r="B204" s="1">
        <v>45325</v>
      </c>
      <c r="C204" s="3">
        <v>0.45208333333333334</v>
      </c>
      <c r="D204" t="s">
        <v>126</v>
      </c>
      <c r="E204" t="s">
        <v>6</v>
      </c>
      <c r="F204">
        <v>23</v>
      </c>
      <c r="G204" t="s">
        <v>16</v>
      </c>
      <c r="H204" t="s">
        <v>2</v>
      </c>
      <c r="I204" t="s">
        <v>5</v>
      </c>
      <c r="J204">
        <v>8</v>
      </c>
      <c r="K204">
        <v>42</v>
      </c>
      <c r="L204" t="s">
        <v>491</v>
      </c>
      <c r="M204" t="s">
        <v>494</v>
      </c>
    </row>
    <row r="205" spans="1:13" x14ac:dyDescent="0.35">
      <c r="A205" t="s">
        <v>323</v>
      </c>
      <c r="B205" s="1">
        <v>45343</v>
      </c>
      <c r="C205" s="3">
        <v>0.96527777777777779</v>
      </c>
      <c r="D205" t="s">
        <v>324</v>
      </c>
      <c r="E205" t="s">
        <v>0</v>
      </c>
      <c r="F205">
        <v>54</v>
      </c>
      <c r="G205" t="s">
        <v>16</v>
      </c>
      <c r="H205" t="s">
        <v>2</v>
      </c>
      <c r="I205" t="s">
        <v>5</v>
      </c>
      <c r="J205">
        <v>6</v>
      </c>
      <c r="K205">
        <v>48</v>
      </c>
      <c r="L205" t="s">
        <v>495</v>
      </c>
      <c r="M205" t="s">
        <v>494</v>
      </c>
    </row>
    <row r="206" spans="1:13" x14ac:dyDescent="0.35">
      <c r="A206" t="s">
        <v>345</v>
      </c>
      <c r="B206" s="1">
        <v>45349</v>
      </c>
      <c r="C206" s="3">
        <v>0.96527777777777779</v>
      </c>
      <c r="D206" t="s">
        <v>346</v>
      </c>
      <c r="E206" t="s">
        <v>0</v>
      </c>
      <c r="F206">
        <v>35</v>
      </c>
      <c r="G206" t="s">
        <v>15</v>
      </c>
      <c r="H206" t="s">
        <v>2</v>
      </c>
      <c r="I206" t="s">
        <v>5</v>
      </c>
      <c r="J206">
        <v>2</v>
      </c>
      <c r="K206">
        <v>52</v>
      </c>
      <c r="L206" t="s">
        <v>496</v>
      </c>
      <c r="M206" t="s">
        <v>494</v>
      </c>
    </row>
    <row r="207" spans="1:13" x14ac:dyDescent="0.35">
      <c r="A207" t="s">
        <v>49</v>
      </c>
      <c r="B207" s="1">
        <v>45332</v>
      </c>
      <c r="C207" s="3">
        <v>0.92569444444444449</v>
      </c>
      <c r="D207" t="s">
        <v>50</v>
      </c>
      <c r="E207" t="s">
        <v>6</v>
      </c>
      <c r="F207">
        <v>5</v>
      </c>
      <c r="G207" t="s">
        <v>4</v>
      </c>
      <c r="H207" t="s">
        <v>2</v>
      </c>
      <c r="I207" t="s">
        <v>5</v>
      </c>
      <c r="J207">
        <v>2</v>
      </c>
      <c r="K207">
        <v>54</v>
      </c>
      <c r="L207" t="s">
        <v>498</v>
      </c>
      <c r="M207" t="s">
        <v>494</v>
      </c>
    </row>
    <row r="208" spans="1:13" x14ac:dyDescent="0.35">
      <c r="A208" t="s">
        <v>133</v>
      </c>
      <c r="B208" s="1">
        <v>45343</v>
      </c>
      <c r="C208" s="3">
        <v>0.65416666666666667</v>
      </c>
      <c r="D208" t="s">
        <v>134</v>
      </c>
      <c r="E208" t="s">
        <v>6</v>
      </c>
      <c r="F208">
        <v>47</v>
      </c>
      <c r="G208" t="s">
        <v>4</v>
      </c>
      <c r="H208" t="s">
        <v>2</v>
      </c>
      <c r="I208" t="s">
        <v>5</v>
      </c>
      <c r="J208">
        <v>3</v>
      </c>
      <c r="K208">
        <v>29</v>
      </c>
      <c r="L208" t="s">
        <v>500</v>
      </c>
      <c r="M208" t="s">
        <v>492</v>
      </c>
    </row>
    <row r="209" spans="1:13" x14ac:dyDescent="0.35">
      <c r="A209" t="s">
        <v>333</v>
      </c>
      <c r="B209" s="1">
        <v>45340</v>
      </c>
      <c r="C209" s="3">
        <v>0.9458333333333333</v>
      </c>
      <c r="D209" t="s">
        <v>334</v>
      </c>
      <c r="E209" t="s">
        <v>0</v>
      </c>
      <c r="F209">
        <v>34</v>
      </c>
      <c r="G209" t="s">
        <v>4</v>
      </c>
      <c r="H209" t="s">
        <v>2</v>
      </c>
      <c r="I209" t="s">
        <v>5</v>
      </c>
      <c r="J209">
        <v>0</v>
      </c>
      <c r="K209">
        <v>19</v>
      </c>
      <c r="L209" t="s">
        <v>496</v>
      </c>
      <c r="M209" t="s">
        <v>492</v>
      </c>
    </row>
    <row r="210" spans="1:13" x14ac:dyDescent="0.35">
      <c r="A210" t="s">
        <v>335</v>
      </c>
      <c r="B210" s="1">
        <v>45344</v>
      </c>
      <c r="C210" s="3">
        <v>0.50486111111111109</v>
      </c>
      <c r="D210" t="s">
        <v>336</v>
      </c>
      <c r="E210" t="s">
        <v>0</v>
      </c>
      <c r="F210">
        <v>20</v>
      </c>
      <c r="G210" t="s">
        <v>4</v>
      </c>
      <c r="H210" t="s">
        <v>2</v>
      </c>
      <c r="I210" t="s">
        <v>5</v>
      </c>
      <c r="J210">
        <v>9</v>
      </c>
      <c r="K210">
        <v>18</v>
      </c>
      <c r="L210" t="s">
        <v>491</v>
      </c>
      <c r="M210" t="s">
        <v>492</v>
      </c>
    </row>
    <row r="211" spans="1:13" x14ac:dyDescent="0.35">
      <c r="A211" t="s">
        <v>165</v>
      </c>
      <c r="B211" s="1">
        <v>45336</v>
      </c>
      <c r="C211" s="3">
        <v>0.49652777777777779</v>
      </c>
      <c r="D211" t="s">
        <v>166</v>
      </c>
      <c r="E211" t="s">
        <v>6</v>
      </c>
      <c r="F211">
        <v>61</v>
      </c>
      <c r="G211" t="s">
        <v>13</v>
      </c>
      <c r="H211" t="s">
        <v>2</v>
      </c>
      <c r="I211" t="s">
        <v>5</v>
      </c>
      <c r="J211">
        <v>1</v>
      </c>
      <c r="K211">
        <v>53</v>
      </c>
      <c r="L211" t="s">
        <v>499</v>
      </c>
      <c r="M211" t="s">
        <v>494</v>
      </c>
    </row>
    <row r="212" spans="1:13" x14ac:dyDescent="0.35">
      <c r="A212" t="s">
        <v>167</v>
      </c>
      <c r="B212" s="1">
        <v>45336</v>
      </c>
      <c r="C212" s="3">
        <v>0.96944444444444444</v>
      </c>
      <c r="D212" t="s">
        <v>168</v>
      </c>
      <c r="E212" t="s">
        <v>6</v>
      </c>
      <c r="F212">
        <v>48</v>
      </c>
      <c r="G212" t="s">
        <v>13</v>
      </c>
      <c r="H212" t="s">
        <v>2</v>
      </c>
      <c r="I212" t="s">
        <v>5</v>
      </c>
      <c r="J212">
        <v>2</v>
      </c>
      <c r="K212">
        <v>21</v>
      </c>
      <c r="L212" t="s">
        <v>500</v>
      </c>
      <c r="M212" t="s">
        <v>492</v>
      </c>
    </row>
    <row r="213" spans="1:13" x14ac:dyDescent="0.35">
      <c r="A213" t="s">
        <v>385</v>
      </c>
      <c r="B213" s="1">
        <v>45336</v>
      </c>
      <c r="C213" s="3">
        <v>0.22777777777777777</v>
      </c>
      <c r="D213" t="s">
        <v>386</v>
      </c>
      <c r="E213" t="s">
        <v>0</v>
      </c>
      <c r="F213">
        <v>77</v>
      </c>
      <c r="G213" t="s">
        <v>13</v>
      </c>
      <c r="H213" t="s">
        <v>2</v>
      </c>
      <c r="I213" t="s">
        <v>5</v>
      </c>
      <c r="J213">
        <v>1</v>
      </c>
      <c r="K213">
        <v>12</v>
      </c>
      <c r="L213" t="s">
        <v>493</v>
      </c>
      <c r="M213" t="s">
        <v>492</v>
      </c>
    </row>
    <row r="214" spans="1:13" x14ac:dyDescent="0.35">
      <c r="A214" t="s">
        <v>55</v>
      </c>
      <c r="B214" s="1">
        <v>45345</v>
      </c>
      <c r="C214" s="3">
        <v>0.48888888888888887</v>
      </c>
      <c r="D214" t="s">
        <v>56</v>
      </c>
      <c r="E214" t="s">
        <v>6</v>
      </c>
      <c r="F214">
        <v>33</v>
      </c>
      <c r="G214" t="s">
        <v>7</v>
      </c>
      <c r="H214" t="s">
        <v>2</v>
      </c>
      <c r="I214" t="s">
        <v>5</v>
      </c>
      <c r="J214">
        <v>3</v>
      </c>
      <c r="K214">
        <v>56</v>
      </c>
      <c r="L214" t="s">
        <v>496</v>
      </c>
      <c r="M214" t="s">
        <v>494</v>
      </c>
    </row>
    <row r="215" spans="1:13" x14ac:dyDescent="0.35">
      <c r="A215" t="s">
        <v>85</v>
      </c>
      <c r="B215" s="1">
        <v>45331</v>
      </c>
      <c r="C215" s="3">
        <v>0.16875000000000001</v>
      </c>
      <c r="D215" t="s">
        <v>86</v>
      </c>
      <c r="E215" t="s">
        <v>6</v>
      </c>
      <c r="F215">
        <v>77</v>
      </c>
      <c r="G215" t="s">
        <v>7</v>
      </c>
      <c r="H215" t="s">
        <v>2</v>
      </c>
      <c r="I215" t="s">
        <v>5</v>
      </c>
      <c r="J215">
        <v>4</v>
      </c>
      <c r="K215">
        <v>36</v>
      </c>
      <c r="L215" t="s">
        <v>493</v>
      </c>
      <c r="M215" t="s">
        <v>494</v>
      </c>
    </row>
    <row r="216" spans="1:13" x14ac:dyDescent="0.35">
      <c r="A216" t="s">
        <v>437</v>
      </c>
      <c r="B216" s="1">
        <v>45341</v>
      </c>
      <c r="C216" s="3">
        <v>0.56736111111111109</v>
      </c>
      <c r="D216" t="s">
        <v>438</v>
      </c>
      <c r="E216" t="s">
        <v>0</v>
      </c>
      <c r="F216">
        <v>10</v>
      </c>
      <c r="G216" t="s">
        <v>1</v>
      </c>
      <c r="H216" t="s">
        <v>2</v>
      </c>
      <c r="I216" t="s">
        <v>5</v>
      </c>
      <c r="J216">
        <v>0</v>
      </c>
      <c r="K216">
        <v>24</v>
      </c>
      <c r="L216" t="s">
        <v>497</v>
      </c>
      <c r="M216" t="s">
        <v>492</v>
      </c>
    </row>
    <row r="217" spans="1:13" x14ac:dyDescent="0.35">
      <c r="A217" t="s">
        <v>439</v>
      </c>
      <c r="B217" s="1">
        <v>45332</v>
      </c>
      <c r="C217" s="3">
        <v>3.6111111111111108E-2</v>
      </c>
      <c r="D217" t="s">
        <v>440</v>
      </c>
      <c r="E217" t="s">
        <v>0</v>
      </c>
      <c r="F217">
        <v>76</v>
      </c>
      <c r="G217" t="s">
        <v>1</v>
      </c>
      <c r="H217" t="s">
        <v>2</v>
      </c>
      <c r="I217" t="s">
        <v>5</v>
      </c>
      <c r="J217">
        <v>2</v>
      </c>
      <c r="K217">
        <v>45</v>
      </c>
      <c r="L217" t="s">
        <v>493</v>
      </c>
      <c r="M217" t="s">
        <v>494</v>
      </c>
    </row>
    <row r="218" spans="1:13" x14ac:dyDescent="0.35">
      <c r="A218" t="s">
        <v>441</v>
      </c>
      <c r="B218" s="1">
        <v>45329</v>
      </c>
      <c r="C218" s="3">
        <v>0.70625000000000004</v>
      </c>
      <c r="D218" t="s">
        <v>442</v>
      </c>
      <c r="E218" t="s">
        <v>0</v>
      </c>
      <c r="F218">
        <v>40</v>
      </c>
      <c r="G218" t="s">
        <v>1</v>
      </c>
      <c r="H218" t="s">
        <v>2</v>
      </c>
      <c r="I218" t="s">
        <v>5</v>
      </c>
      <c r="J218">
        <v>6</v>
      </c>
      <c r="K218">
        <v>34</v>
      </c>
      <c r="L218" t="s">
        <v>500</v>
      </c>
      <c r="M218" t="s">
        <v>494</v>
      </c>
    </row>
    <row r="219" spans="1:13" x14ac:dyDescent="0.35">
      <c r="A219" t="s">
        <v>443</v>
      </c>
      <c r="B219" s="1">
        <v>45349</v>
      </c>
      <c r="C219" s="3">
        <v>0.14861111111111111</v>
      </c>
      <c r="D219" t="s">
        <v>444</v>
      </c>
      <c r="E219" t="s">
        <v>0</v>
      </c>
      <c r="F219">
        <v>67</v>
      </c>
      <c r="G219" t="s">
        <v>1</v>
      </c>
      <c r="H219" t="s">
        <v>2</v>
      </c>
      <c r="I219" t="s">
        <v>5</v>
      </c>
      <c r="J219">
        <v>8</v>
      </c>
      <c r="K219">
        <v>47</v>
      </c>
      <c r="L219" t="s">
        <v>499</v>
      </c>
      <c r="M219" t="s">
        <v>494</v>
      </c>
    </row>
    <row r="220" spans="1:13" x14ac:dyDescent="0.35">
      <c r="A220" t="s">
        <v>445</v>
      </c>
      <c r="B220" s="1">
        <v>45334</v>
      </c>
      <c r="C220" s="3">
        <v>0.79722222222222228</v>
      </c>
      <c r="D220" t="s">
        <v>446</v>
      </c>
      <c r="E220" t="s">
        <v>0</v>
      </c>
      <c r="F220">
        <v>48</v>
      </c>
      <c r="G220" t="s">
        <v>1</v>
      </c>
      <c r="H220" t="s">
        <v>2</v>
      </c>
      <c r="I220" t="s">
        <v>5</v>
      </c>
      <c r="J220">
        <v>9</v>
      </c>
      <c r="K220">
        <v>26</v>
      </c>
      <c r="L220" t="s">
        <v>500</v>
      </c>
      <c r="M220" t="s">
        <v>492</v>
      </c>
    </row>
    <row r="221" spans="1:13" x14ac:dyDescent="0.35">
      <c r="A221" t="s">
        <v>447</v>
      </c>
      <c r="B221" s="1">
        <v>45345</v>
      </c>
      <c r="C221" s="3">
        <v>0.91249999999999998</v>
      </c>
      <c r="D221" t="s">
        <v>448</v>
      </c>
      <c r="E221" t="s">
        <v>0</v>
      </c>
      <c r="F221">
        <v>57</v>
      </c>
      <c r="G221" t="s">
        <v>1</v>
      </c>
      <c r="H221" t="s">
        <v>2</v>
      </c>
      <c r="I221" t="s">
        <v>5</v>
      </c>
      <c r="J221">
        <v>9</v>
      </c>
      <c r="K221">
        <v>59</v>
      </c>
      <c r="L221" t="s">
        <v>495</v>
      </c>
      <c r="M221" t="s">
        <v>494</v>
      </c>
    </row>
    <row r="222" spans="1:13" x14ac:dyDescent="0.35">
      <c r="A222" t="s">
        <v>449</v>
      </c>
      <c r="B222" s="1">
        <v>45347</v>
      </c>
      <c r="C222" s="3">
        <v>0.43194444444444446</v>
      </c>
      <c r="D222" t="s">
        <v>450</v>
      </c>
      <c r="E222" t="s">
        <v>0</v>
      </c>
      <c r="F222">
        <v>70</v>
      </c>
      <c r="G222" t="s">
        <v>1</v>
      </c>
      <c r="H222" t="s">
        <v>2</v>
      </c>
      <c r="I222" t="s">
        <v>5</v>
      </c>
      <c r="J222">
        <v>10</v>
      </c>
      <c r="K222">
        <v>29</v>
      </c>
      <c r="L222" t="s">
        <v>493</v>
      </c>
      <c r="M222" t="s">
        <v>492</v>
      </c>
    </row>
    <row r="223" spans="1:13" x14ac:dyDescent="0.35">
      <c r="A223" t="s">
        <v>211</v>
      </c>
      <c r="B223" s="1">
        <v>45339</v>
      </c>
      <c r="C223" s="3">
        <v>0.61597222222222225</v>
      </c>
      <c r="D223" t="s">
        <v>212</v>
      </c>
      <c r="E223" t="s">
        <v>6</v>
      </c>
      <c r="F223">
        <v>26</v>
      </c>
      <c r="G223" t="s">
        <v>1</v>
      </c>
      <c r="H223" t="s">
        <v>2</v>
      </c>
      <c r="I223" t="s">
        <v>5</v>
      </c>
      <c r="J223">
        <v>0</v>
      </c>
      <c r="K223">
        <v>31</v>
      </c>
      <c r="L223" t="s">
        <v>491</v>
      </c>
      <c r="M223" t="s">
        <v>494</v>
      </c>
    </row>
    <row r="224" spans="1:13" x14ac:dyDescent="0.35">
      <c r="A224" t="s">
        <v>213</v>
      </c>
      <c r="B224" s="1">
        <v>45337</v>
      </c>
      <c r="C224" s="3">
        <v>0.12013888888888889</v>
      </c>
      <c r="D224" t="s">
        <v>214</v>
      </c>
      <c r="E224" t="s">
        <v>6</v>
      </c>
      <c r="F224">
        <v>58</v>
      </c>
      <c r="G224" t="s">
        <v>1</v>
      </c>
      <c r="H224" t="s">
        <v>2</v>
      </c>
      <c r="I224" t="s">
        <v>5</v>
      </c>
      <c r="J224">
        <v>4</v>
      </c>
      <c r="K224">
        <v>59</v>
      </c>
      <c r="L224" t="s">
        <v>495</v>
      </c>
      <c r="M224" t="s">
        <v>494</v>
      </c>
    </row>
    <row r="225" spans="1:13" x14ac:dyDescent="0.35">
      <c r="A225" t="s">
        <v>215</v>
      </c>
      <c r="B225" s="1">
        <v>45339</v>
      </c>
      <c r="C225" s="3">
        <v>0.82291666666666663</v>
      </c>
      <c r="D225" t="s">
        <v>216</v>
      </c>
      <c r="E225" t="s">
        <v>6</v>
      </c>
      <c r="F225">
        <v>9</v>
      </c>
      <c r="G225" t="s">
        <v>1</v>
      </c>
      <c r="H225" t="s">
        <v>2</v>
      </c>
      <c r="I225" t="s">
        <v>5</v>
      </c>
      <c r="J225">
        <v>5</v>
      </c>
      <c r="K225">
        <v>13</v>
      </c>
      <c r="L225" t="s">
        <v>498</v>
      </c>
      <c r="M225" t="s">
        <v>492</v>
      </c>
    </row>
    <row r="226" spans="1:13" x14ac:dyDescent="0.35">
      <c r="A226" t="s">
        <v>217</v>
      </c>
      <c r="B226" s="1">
        <v>45324</v>
      </c>
      <c r="C226" s="3">
        <v>0.13402777777777777</v>
      </c>
      <c r="D226" t="s">
        <v>218</v>
      </c>
      <c r="E226" t="s">
        <v>6</v>
      </c>
      <c r="F226">
        <v>19</v>
      </c>
      <c r="G226" t="s">
        <v>1</v>
      </c>
      <c r="H226" t="s">
        <v>2</v>
      </c>
      <c r="I226" t="s">
        <v>5</v>
      </c>
      <c r="J226">
        <v>6</v>
      </c>
      <c r="K226">
        <v>45</v>
      </c>
      <c r="L226" t="s">
        <v>497</v>
      </c>
      <c r="M226" t="s">
        <v>494</v>
      </c>
    </row>
    <row r="227" spans="1:13" x14ac:dyDescent="0.35">
      <c r="A227" t="s">
        <v>219</v>
      </c>
      <c r="B227" s="1">
        <v>45342</v>
      </c>
      <c r="C227" s="3">
        <v>6.2500000000000003E-3</v>
      </c>
      <c r="D227" t="s">
        <v>220</v>
      </c>
      <c r="E227" t="s">
        <v>6</v>
      </c>
      <c r="F227">
        <v>24</v>
      </c>
      <c r="G227" t="s">
        <v>1</v>
      </c>
      <c r="H227" t="s">
        <v>2</v>
      </c>
      <c r="I227" t="s">
        <v>5</v>
      </c>
      <c r="J227">
        <v>7</v>
      </c>
      <c r="K227">
        <v>41</v>
      </c>
      <c r="L227" t="s">
        <v>491</v>
      </c>
      <c r="M227"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1998-1D54-42A6-9394-55550773CB6F}">
  <dimension ref="A1:U93"/>
  <sheetViews>
    <sheetView topLeftCell="A24" zoomScale="69" zoomScaleNormal="69" workbookViewId="0">
      <selection activeCell="F51" sqref="F51"/>
    </sheetView>
  </sheetViews>
  <sheetFormatPr defaultRowHeight="14.5" x14ac:dyDescent="0.35"/>
  <cols>
    <col min="1" max="1" width="15.7265625" customWidth="1"/>
    <col min="2" max="3" width="8.26953125" customWidth="1"/>
    <col min="4" max="4" width="8.81640625" customWidth="1"/>
    <col min="5" max="5" width="16.81640625" bestFit="1" customWidth="1"/>
    <col min="7" max="7" width="18.36328125" bestFit="1" customWidth="1"/>
    <col min="10" max="10" width="20.26953125" bestFit="1" customWidth="1"/>
    <col min="13" max="13" width="20.26953125" bestFit="1" customWidth="1"/>
    <col min="16" max="16" width="26.26953125" bestFit="1" customWidth="1"/>
  </cols>
  <sheetData>
    <row r="1" spans="1:21" x14ac:dyDescent="0.35">
      <c r="A1" s="17"/>
      <c r="B1" s="17"/>
      <c r="C1" s="17"/>
      <c r="D1" s="17"/>
      <c r="E1" s="17"/>
      <c r="F1" s="17"/>
      <c r="G1" s="17"/>
      <c r="H1" s="17"/>
      <c r="I1" s="17"/>
      <c r="J1" s="17"/>
      <c r="K1" s="17"/>
      <c r="L1" s="17"/>
      <c r="M1" s="17"/>
      <c r="N1" s="17"/>
      <c r="O1" s="17"/>
      <c r="P1" s="17"/>
      <c r="Q1" s="17"/>
      <c r="R1" s="17"/>
      <c r="S1" s="17"/>
      <c r="T1" s="17"/>
      <c r="U1" s="17"/>
    </row>
    <row r="2" spans="1:21" x14ac:dyDescent="0.35">
      <c r="A2" s="17" t="s">
        <v>468</v>
      </c>
      <c r="B2" s="17"/>
      <c r="C2" s="17"/>
      <c r="D2" s="17"/>
      <c r="E2" s="17"/>
      <c r="F2" s="17"/>
      <c r="G2" s="17"/>
      <c r="H2" s="17"/>
      <c r="I2" s="17"/>
      <c r="J2" s="17"/>
      <c r="K2" s="17"/>
      <c r="L2" s="17"/>
      <c r="M2" s="17"/>
      <c r="N2" s="17"/>
      <c r="O2" s="17"/>
      <c r="P2" s="17"/>
      <c r="Q2" s="17"/>
      <c r="R2" s="17"/>
      <c r="S2" s="17"/>
      <c r="T2" s="17"/>
      <c r="U2" s="17"/>
    </row>
    <row r="3" spans="1:21" x14ac:dyDescent="0.35">
      <c r="A3" s="17" t="s">
        <v>467</v>
      </c>
      <c r="B3" s="17"/>
      <c r="C3" s="17"/>
      <c r="D3" s="16" t="s">
        <v>471</v>
      </c>
      <c r="E3" s="17" t="s">
        <v>467</v>
      </c>
      <c r="F3" s="17"/>
      <c r="G3" s="17"/>
      <c r="H3" s="17"/>
      <c r="I3" s="17"/>
      <c r="J3" s="17"/>
      <c r="K3" s="17"/>
      <c r="L3" s="17"/>
      <c r="M3" s="17"/>
      <c r="N3" s="17"/>
      <c r="O3" s="17"/>
      <c r="P3" s="17"/>
      <c r="Q3" s="17"/>
      <c r="R3" s="17"/>
      <c r="S3" s="17"/>
      <c r="T3" s="17"/>
      <c r="U3" s="17"/>
    </row>
    <row r="4" spans="1:21" x14ac:dyDescent="0.35">
      <c r="A4" s="28">
        <v>480</v>
      </c>
      <c r="B4" s="17"/>
      <c r="C4" s="17"/>
      <c r="D4" s="18" t="s">
        <v>507</v>
      </c>
      <c r="E4" s="28">
        <v>20</v>
      </c>
      <c r="F4" s="17"/>
      <c r="G4" s="17"/>
      <c r="H4" s="17"/>
      <c r="I4" s="17"/>
      <c r="J4" s="17"/>
      <c r="K4" s="17"/>
      <c r="L4" s="17"/>
      <c r="M4" s="17"/>
      <c r="N4" s="17"/>
      <c r="O4" s="17"/>
      <c r="P4" s="17"/>
      <c r="Q4" s="17"/>
      <c r="R4" s="17"/>
      <c r="S4" s="17"/>
      <c r="T4" s="17"/>
      <c r="U4" s="17"/>
    </row>
    <row r="5" spans="1:21" x14ac:dyDescent="0.35">
      <c r="A5" s="17"/>
      <c r="B5" s="17"/>
      <c r="C5" s="17"/>
      <c r="D5" s="18" t="s">
        <v>508</v>
      </c>
      <c r="E5" s="28">
        <v>16</v>
      </c>
      <c r="F5" s="17"/>
      <c r="G5" s="17"/>
      <c r="H5" s="17"/>
      <c r="I5" s="17"/>
      <c r="J5" s="17"/>
      <c r="K5" s="17"/>
      <c r="L5" s="17"/>
      <c r="M5" s="17"/>
      <c r="N5" s="17"/>
      <c r="O5" s="17"/>
      <c r="P5" s="17"/>
      <c r="Q5" s="17"/>
      <c r="R5" s="17"/>
      <c r="S5" s="17"/>
      <c r="T5" s="17"/>
      <c r="U5" s="17"/>
    </row>
    <row r="6" spans="1:21" x14ac:dyDescent="0.35">
      <c r="A6" s="17"/>
      <c r="B6" s="17"/>
      <c r="C6" s="17"/>
      <c r="D6" s="18" t="s">
        <v>509</v>
      </c>
      <c r="E6" s="28">
        <v>20</v>
      </c>
      <c r="F6" s="17"/>
      <c r="G6" s="17"/>
      <c r="H6" s="17"/>
      <c r="I6" s="17"/>
      <c r="J6" s="17"/>
      <c r="K6" s="17"/>
      <c r="L6" s="17"/>
      <c r="M6" s="17"/>
      <c r="N6" s="17"/>
      <c r="O6" s="17"/>
      <c r="P6" s="17"/>
      <c r="Q6" s="17"/>
      <c r="R6" s="17"/>
      <c r="S6" s="17"/>
      <c r="T6" s="17"/>
      <c r="U6" s="17"/>
    </row>
    <row r="7" spans="1:21" x14ac:dyDescent="0.35">
      <c r="A7" s="17"/>
      <c r="B7" s="17"/>
      <c r="C7" s="17"/>
      <c r="D7" s="18" t="s">
        <v>510</v>
      </c>
      <c r="E7" s="28">
        <v>16</v>
      </c>
      <c r="F7" s="17"/>
      <c r="G7" s="17"/>
      <c r="H7" s="17"/>
      <c r="I7" s="17"/>
      <c r="J7" s="17"/>
      <c r="K7" s="17"/>
      <c r="L7" s="17"/>
      <c r="M7" s="17"/>
      <c r="N7" s="17"/>
      <c r="O7" s="17"/>
      <c r="P7" s="17"/>
      <c r="Q7" s="17"/>
      <c r="R7" s="17"/>
      <c r="S7" s="17"/>
      <c r="T7" s="17"/>
      <c r="U7" s="17"/>
    </row>
    <row r="8" spans="1:21" x14ac:dyDescent="0.35">
      <c r="A8" s="17" t="s">
        <v>469</v>
      </c>
      <c r="B8" s="17"/>
      <c r="C8" s="17"/>
      <c r="D8" s="18" t="s">
        <v>511</v>
      </c>
      <c r="E8" s="28">
        <v>18</v>
      </c>
      <c r="F8" s="17"/>
      <c r="G8" s="17"/>
      <c r="H8" s="17"/>
      <c r="I8" s="17"/>
      <c r="J8" s="17"/>
      <c r="K8" s="17"/>
      <c r="L8" s="17"/>
      <c r="M8" s="17"/>
      <c r="N8" s="17"/>
      <c r="O8" s="17"/>
      <c r="P8" s="17"/>
      <c r="Q8" s="17"/>
      <c r="R8" s="17"/>
      <c r="S8" s="17"/>
      <c r="T8" s="17"/>
      <c r="U8" s="17"/>
    </row>
    <row r="9" spans="1:21" x14ac:dyDescent="0.35">
      <c r="A9" s="19">
        <v>34.429166666666667</v>
      </c>
      <c r="B9" s="17"/>
      <c r="C9" s="17"/>
      <c r="D9" s="18" t="s">
        <v>512</v>
      </c>
      <c r="E9" s="28">
        <v>16</v>
      </c>
      <c r="F9" s="17"/>
      <c r="G9" s="17"/>
      <c r="H9" s="17"/>
      <c r="I9" s="17"/>
      <c r="J9" s="17"/>
      <c r="K9" s="17"/>
      <c r="L9" s="17"/>
      <c r="M9" s="17"/>
      <c r="N9" s="17"/>
      <c r="O9" s="17"/>
      <c r="P9" s="17"/>
      <c r="Q9" s="17"/>
      <c r="R9" s="17"/>
      <c r="S9" s="17"/>
      <c r="T9" s="17"/>
      <c r="U9" s="17"/>
    </row>
    <row r="10" spans="1:21" x14ac:dyDescent="0.35">
      <c r="A10" s="17"/>
      <c r="B10" s="17"/>
      <c r="C10" s="17"/>
      <c r="D10" s="18" t="s">
        <v>513</v>
      </c>
      <c r="E10" s="28">
        <v>15</v>
      </c>
      <c r="F10" s="17"/>
      <c r="G10" s="17"/>
      <c r="H10" s="17"/>
      <c r="I10" s="17"/>
      <c r="J10" s="17"/>
      <c r="K10" s="17"/>
      <c r="L10" s="17"/>
      <c r="M10" s="17"/>
      <c r="N10" s="17"/>
      <c r="O10" s="17"/>
      <c r="P10" s="17"/>
      <c r="Q10" s="17"/>
      <c r="R10" s="17"/>
      <c r="S10" s="17"/>
      <c r="T10" s="17"/>
      <c r="U10" s="17"/>
    </row>
    <row r="11" spans="1:21" x14ac:dyDescent="0.35">
      <c r="A11" s="17"/>
      <c r="B11" s="17"/>
      <c r="C11" s="17"/>
      <c r="D11" s="18" t="s">
        <v>514</v>
      </c>
      <c r="E11" s="28">
        <v>20</v>
      </c>
      <c r="F11" s="17"/>
      <c r="G11" s="17"/>
      <c r="H11" s="17"/>
      <c r="I11" s="17"/>
      <c r="J11" s="17"/>
      <c r="K11" s="17"/>
      <c r="L11" s="17"/>
      <c r="M11" s="17"/>
      <c r="N11" s="17"/>
      <c r="O11" s="17"/>
      <c r="P11" s="17"/>
      <c r="Q11" s="17"/>
      <c r="R11" s="17"/>
      <c r="S11" s="17"/>
      <c r="T11" s="17"/>
      <c r="U11" s="17"/>
    </row>
    <row r="12" spans="1:21" x14ac:dyDescent="0.35">
      <c r="A12" s="17"/>
      <c r="B12" s="17"/>
      <c r="C12" s="17"/>
      <c r="D12" s="18" t="s">
        <v>515</v>
      </c>
      <c r="E12" s="28">
        <v>20</v>
      </c>
      <c r="F12" s="17"/>
      <c r="G12" s="17"/>
      <c r="H12" s="17"/>
      <c r="I12" s="17"/>
      <c r="J12" s="17"/>
      <c r="K12" s="17"/>
      <c r="L12" s="17"/>
      <c r="M12" s="17"/>
      <c r="N12" s="17"/>
      <c r="O12" s="17"/>
      <c r="P12" s="17"/>
      <c r="Q12" s="17"/>
      <c r="R12" s="17"/>
      <c r="S12" s="17"/>
      <c r="T12" s="17"/>
      <c r="U12" s="17"/>
    </row>
    <row r="13" spans="1:21" x14ac:dyDescent="0.35">
      <c r="A13" s="17" t="s">
        <v>470</v>
      </c>
      <c r="B13" s="17"/>
      <c r="C13" s="17"/>
      <c r="D13" s="18" t="s">
        <v>516</v>
      </c>
      <c r="E13" s="28">
        <v>13</v>
      </c>
      <c r="F13" s="17"/>
      <c r="G13" s="17"/>
      <c r="H13" s="17"/>
      <c r="I13" s="17"/>
      <c r="J13" s="17"/>
      <c r="K13" s="17"/>
      <c r="L13" s="17"/>
      <c r="M13" s="17"/>
      <c r="N13" s="17"/>
      <c r="O13" s="17"/>
      <c r="P13" s="17"/>
      <c r="Q13" s="17"/>
      <c r="R13" s="17"/>
      <c r="S13" s="17"/>
      <c r="T13" s="17"/>
      <c r="U13" s="17"/>
    </row>
    <row r="14" spans="1:21" x14ac:dyDescent="0.35">
      <c r="A14" s="19">
        <v>5.1640625</v>
      </c>
      <c r="B14" s="17"/>
      <c r="C14" s="17"/>
      <c r="D14" s="18" t="s">
        <v>517</v>
      </c>
      <c r="E14" s="28">
        <v>18</v>
      </c>
      <c r="F14" s="17"/>
      <c r="G14" s="17"/>
      <c r="H14" s="17"/>
      <c r="I14" s="17"/>
      <c r="J14" s="17"/>
      <c r="K14" s="17"/>
      <c r="L14" s="17"/>
      <c r="M14" s="17"/>
      <c r="N14" s="17"/>
      <c r="O14" s="17"/>
      <c r="P14" s="17"/>
      <c r="Q14" s="17"/>
      <c r="R14" s="17"/>
      <c r="S14" s="17"/>
      <c r="T14" s="17"/>
      <c r="U14" s="17"/>
    </row>
    <row r="15" spans="1:21" x14ac:dyDescent="0.35">
      <c r="A15" s="17"/>
      <c r="B15" s="17"/>
      <c r="C15" s="17"/>
      <c r="D15" s="18" t="s">
        <v>518</v>
      </c>
      <c r="E15" s="28">
        <v>11</v>
      </c>
      <c r="F15" s="17"/>
      <c r="G15" s="17"/>
      <c r="H15" s="17"/>
      <c r="I15" s="17"/>
      <c r="J15" s="17"/>
      <c r="K15" s="17"/>
      <c r="L15" s="17"/>
      <c r="M15" s="17"/>
      <c r="N15" s="17"/>
      <c r="O15" s="17"/>
      <c r="P15" s="17"/>
      <c r="Q15" s="17"/>
      <c r="R15" s="17"/>
      <c r="S15" s="17"/>
      <c r="T15" s="17"/>
      <c r="U15" s="17"/>
    </row>
    <row r="16" spans="1:21" x14ac:dyDescent="0.35">
      <c r="A16" s="17"/>
      <c r="B16" s="17"/>
      <c r="C16" s="17"/>
      <c r="D16" s="18" t="s">
        <v>519</v>
      </c>
      <c r="E16" s="28">
        <v>13</v>
      </c>
      <c r="F16" s="17"/>
      <c r="G16" s="17"/>
      <c r="H16" s="17"/>
      <c r="I16" s="17"/>
      <c r="J16" s="17"/>
      <c r="K16" s="17"/>
      <c r="L16" s="17"/>
      <c r="M16" s="17"/>
      <c r="N16" s="17"/>
      <c r="O16" s="17"/>
      <c r="P16" s="17"/>
      <c r="Q16" s="17"/>
      <c r="R16" s="17"/>
      <c r="S16" s="17"/>
      <c r="T16" s="17"/>
      <c r="U16" s="17"/>
    </row>
    <row r="17" spans="1:21" x14ac:dyDescent="0.35">
      <c r="A17" s="17"/>
      <c r="B17" s="17"/>
      <c r="C17" s="17"/>
      <c r="D17" s="18" t="s">
        <v>520</v>
      </c>
      <c r="E17" s="28">
        <v>14</v>
      </c>
      <c r="F17" s="17"/>
      <c r="G17" s="17"/>
      <c r="H17" s="17"/>
      <c r="I17" s="17"/>
      <c r="J17" s="17"/>
      <c r="K17" s="17"/>
      <c r="L17" s="17"/>
      <c r="M17" s="17"/>
      <c r="N17" s="17"/>
      <c r="O17" s="17"/>
      <c r="P17" s="17"/>
      <c r="Q17" s="17"/>
      <c r="R17" s="17"/>
      <c r="S17" s="17"/>
      <c r="T17" s="17"/>
      <c r="U17" s="17"/>
    </row>
    <row r="18" spans="1:21" x14ac:dyDescent="0.35">
      <c r="A18" s="17"/>
      <c r="B18" s="17"/>
      <c r="C18" s="17"/>
      <c r="D18" s="18" t="s">
        <v>521</v>
      </c>
      <c r="E18" s="28">
        <v>7</v>
      </c>
      <c r="F18" s="17"/>
      <c r="G18" s="17"/>
      <c r="H18" s="17"/>
      <c r="I18" s="17"/>
      <c r="J18" s="17"/>
      <c r="K18" s="17"/>
      <c r="L18" s="17"/>
      <c r="M18" s="17"/>
      <c r="N18" s="17"/>
      <c r="O18" s="17"/>
      <c r="P18" s="17"/>
      <c r="Q18" s="17"/>
      <c r="R18" s="17"/>
      <c r="S18" s="17"/>
      <c r="T18" s="17"/>
      <c r="U18" s="17"/>
    </row>
    <row r="19" spans="1:21" x14ac:dyDescent="0.35">
      <c r="A19" s="17"/>
      <c r="B19" s="17"/>
      <c r="C19" s="17"/>
      <c r="D19" s="18" t="s">
        <v>522</v>
      </c>
      <c r="E19" s="28">
        <v>21</v>
      </c>
      <c r="F19" s="17"/>
      <c r="G19" s="17"/>
      <c r="H19" s="17"/>
      <c r="I19" s="17"/>
      <c r="J19" s="17"/>
      <c r="K19" s="17"/>
      <c r="L19" s="17"/>
      <c r="M19" s="17"/>
      <c r="N19" s="17"/>
      <c r="O19" s="17"/>
      <c r="P19" s="17"/>
      <c r="Q19" s="17"/>
      <c r="R19" s="17"/>
      <c r="S19" s="17"/>
      <c r="T19" s="17"/>
      <c r="U19" s="17"/>
    </row>
    <row r="20" spans="1:21" x14ac:dyDescent="0.35">
      <c r="A20" s="17"/>
      <c r="B20" s="17"/>
      <c r="C20" s="17"/>
      <c r="D20" s="18" t="s">
        <v>523</v>
      </c>
      <c r="E20" s="28">
        <v>16</v>
      </c>
      <c r="F20" s="17"/>
      <c r="G20" s="17"/>
      <c r="H20" s="17"/>
      <c r="I20" s="17"/>
      <c r="J20" s="17"/>
      <c r="K20" s="17"/>
      <c r="L20" s="17"/>
      <c r="M20" s="17"/>
      <c r="N20" s="17"/>
      <c r="O20" s="17"/>
      <c r="P20" s="17"/>
      <c r="Q20" s="17"/>
      <c r="R20" s="17"/>
      <c r="S20" s="17"/>
      <c r="T20" s="17"/>
      <c r="U20" s="17"/>
    </row>
    <row r="21" spans="1:21" x14ac:dyDescent="0.35">
      <c r="A21" s="17"/>
      <c r="B21" s="17"/>
      <c r="C21" s="17"/>
      <c r="D21" s="18" t="s">
        <v>524</v>
      </c>
      <c r="E21" s="28">
        <v>15</v>
      </c>
      <c r="F21" s="17"/>
      <c r="G21" s="17"/>
      <c r="H21" s="17"/>
      <c r="I21" s="17"/>
      <c r="J21" s="17"/>
      <c r="K21" s="17"/>
      <c r="L21" s="17"/>
      <c r="M21" s="17"/>
      <c r="N21" s="17"/>
      <c r="O21" s="17"/>
      <c r="P21" s="17"/>
      <c r="Q21" s="17"/>
      <c r="R21" s="17"/>
      <c r="S21" s="17"/>
      <c r="T21" s="17"/>
      <c r="U21" s="17"/>
    </row>
    <row r="22" spans="1:21" x14ac:dyDescent="0.35">
      <c r="A22" s="17"/>
      <c r="B22" s="17"/>
      <c r="C22" s="17"/>
      <c r="D22" s="18" t="s">
        <v>525</v>
      </c>
      <c r="E22" s="28">
        <v>15</v>
      </c>
      <c r="F22" s="17"/>
      <c r="G22" s="17"/>
      <c r="H22" s="17"/>
      <c r="I22" s="17"/>
      <c r="J22" s="17"/>
      <c r="K22" s="17"/>
      <c r="L22" s="17"/>
      <c r="M22" s="17"/>
      <c r="N22" s="17"/>
      <c r="O22" s="17"/>
      <c r="P22" s="17"/>
      <c r="Q22" s="17"/>
      <c r="R22" s="17"/>
      <c r="S22" s="17"/>
      <c r="T22" s="17"/>
      <c r="U22" s="17"/>
    </row>
    <row r="23" spans="1:21" x14ac:dyDescent="0.35">
      <c r="A23" s="17"/>
      <c r="B23" s="17"/>
      <c r="C23" s="17"/>
      <c r="D23" s="18" t="s">
        <v>526</v>
      </c>
      <c r="E23" s="28">
        <v>14</v>
      </c>
      <c r="F23" s="17"/>
      <c r="G23" s="17"/>
      <c r="H23" s="17"/>
      <c r="I23" s="17"/>
      <c r="J23" s="17"/>
      <c r="K23" s="17"/>
      <c r="L23" s="17"/>
      <c r="M23" s="17"/>
      <c r="N23" s="17"/>
      <c r="O23" s="17"/>
      <c r="P23" s="17"/>
      <c r="Q23" s="17"/>
      <c r="R23" s="17"/>
      <c r="S23" s="17"/>
      <c r="T23" s="17"/>
      <c r="U23" s="17"/>
    </row>
    <row r="24" spans="1:21" x14ac:dyDescent="0.35">
      <c r="A24" s="17"/>
      <c r="B24" s="17"/>
      <c r="C24" s="17"/>
      <c r="D24" s="18" t="s">
        <v>527</v>
      </c>
      <c r="E24" s="28">
        <v>16</v>
      </c>
      <c r="F24" s="17"/>
      <c r="G24" s="17"/>
      <c r="H24" s="17"/>
      <c r="I24" s="17"/>
      <c r="J24" s="17"/>
      <c r="K24" s="17"/>
      <c r="L24" s="17"/>
      <c r="M24" s="17"/>
      <c r="N24" s="17"/>
      <c r="O24" s="17"/>
      <c r="P24" s="17"/>
      <c r="Q24" s="17"/>
      <c r="R24" s="17"/>
      <c r="S24" s="17"/>
      <c r="T24" s="17"/>
      <c r="U24" s="17"/>
    </row>
    <row r="25" spans="1:21" x14ac:dyDescent="0.35">
      <c r="A25" s="17"/>
      <c r="B25" s="17"/>
      <c r="C25" s="17"/>
      <c r="D25" s="18" t="s">
        <v>528</v>
      </c>
      <c r="E25" s="28">
        <v>21</v>
      </c>
      <c r="F25" s="17"/>
      <c r="G25" s="17"/>
      <c r="H25" s="17"/>
      <c r="I25" s="17"/>
      <c r="J25" s="17"/>
      <c r="K25" s="17"/>
      <c r="L25" s="17"/>
      <c r="M25" s="17"/>
      <c r="N25" s="17"/>
      <c r="O25" s="17"/>
      <c r="P25" s="17"/>
      <c r="Q25" s="17"/>
      <c r="R25" s="17"/>
      <c r="S25" s="17"/>
      <c r="T25" s="17"/>
      <c r="U25" s="17"/>
    </row>
    <row r="26" spans="1:21" x14ac:dyDescent="0.35">
      <c r="A26" s="17"/>
      <c r="B26" s="17"/>
      <c r="C26" s="17"/>
      <c r="D26" s="18" t="s">
        <v>529</v>
      </c>
      <c r="E26" s="28">
        <v>13</v>
      </c>
      <c r="F26" s="17"/>
      <c r="G26" s="17"/>
      <c r="H26" s="17"/>
      <c r="I26" s="17"/>
      <c r="J26" s="17"/>
      <c r="K26" s="17"/>
      <c r="L26" s="17"/>
      <c r="M26" s="17"/>
      <c r="N26" s="17"/>
      <c r="O26" s="17"/>
      <c r="P26" s="17"/>
      <c r="Q26" s="17"/>
      <c r="R26" s="17"/>
      <c r="S26" s="17"/>
      <c r="T26" s="17"/>
      <c r="U26" s="17"/>
    </row>
    <row r="27" spans="1:21" x14ac:dyDescent="0.35">
      <c r="A27" s="17"/>
      <c r="B27" s="17"/>
      <c r="C27" s="17"/>
      <c r="D27" s="18" t="s">
        <v>530</v>
      </c>
      <c r="E27" s="28">
        <v>11</v>
      </c>
      <c r="F27" s="17"/>
      <c r="G27" s="17"/>
      <c r="H27" s="17"/>
      <c r="I27" s="17"/>
      <c r="J27" s="17"/>
      <c r="K27" s="17"/>
      <c r="L27" s="17"/>
      <c r="M27" s="17"/>
      <c r="N27" s="17"/>
      <c r="O27" s="17"/>
      <c r="P27" s="17"/>
      <c r="Q27" s="17"/>
      <c r="R27" s="17"/>
      <c r="S27" s="17"/>
      <c r="T27" s="17"/>
      <c r="U27" s="17"/>
    </row>
    <row r="28" spans="1:21" x14ac:dyDescent="0.35">
      <c r="A28" s="17"/>
      <c r="B28" s="17"/>
      <c r="C28" s="17"/>
      <c r="D28" s="18" t="s">
        <v>531</v>
      </c>
      <c r="E28" s="28">
        <v>16</v>
      </c>
      <c r="F28" s="17"/>
      <c r="G28" s="17"/>
      <c r="H28" s="17"/>
      <c r="I28" s="17"/>
      <c r="J28" s="17"/>
      <c r="K28" s="17"/>
      <c r="L28" s="17"/>
      <c r="M28" s="17"/>
      <c r="N28" s="17"/>
      <c r="O28" s="17"/>
      <c r="P28" s="17"/>
      <c r="Q28" s="17"/>
      <c r="R28" s="17"/>
      <c r="S28" s="17"/>
      <c r="T28" s="17"/>
      <c r="U28" s="17"/>
    </row>
    <row r="29" spans="1:21" x14ac:dyDescent="0.35">
      <c r="A29" s="17"/>
      <c r="B29" s="17"/>
      <c r="C29" s="17"/>
      <c r="D29" s="18" t="s">
        <v>532</v>
      </c>
      <c r="E29" s="28">
        <v>11</v>
      </c>
      <c r="F29" s="17"/>
      <c r="G29" s="17"/>
      <c r="H29" s="17"/>
      <c r="I29" s="17"/>
      <c r="J29" s="17"/>
      <c r="K29" s="17"/>
      <c r="L29" s="17"/>
      <c r="M29" s="17"/>
      <c r="N29" s="17"/>
      <c r="O29" s="17"/>
      <c r="P29" s="17"/>
      <c r="Q29" s="17"/>
      <c r="R29" s="17"/>
      <c r="S29" s="17"/>
      <c r="T29" s="17"/>
      <c r="U29" s="17"/>
    </row>
    <row r="30" spans="1:21" x14ac:dyDescent="0.35">
      <c r="A30" s="17"/>
      <c r="B30" s="17"/>
      <c r="C30" s="17"/>
      <c r="D30" s="18" t="s">
        <v>533</v>
      </c>
      <c r="E30" s="28">
        <v>14</v>
      </c>
      <c r="F30" s="17"/>
      <c r="G30" s="17"/>
      <c r="H30" s="17"/>
      <c r="I30" s="17"/>
      <c r="J30" s="17"/>
      <c r="K30" s="17"/>
      <c r="L30" s="17"/>
      <c r="M30" s="17"/>
      <c r="N30" s="17"/>
      <c r="O30" s="17"/>
      <c r="P30" s="17"/>
      <c r="Q30" s="17"/>
      <c r="R30" s="17"/>
      <c r="S30" s="17"/>
      <c r="T30" s="17"/>
      <c r="U30" s="17"/>
    </row>
    <row r="31" spans="1:21" x14ac:dyDescent="0.35">
      <c r="A31" s="17"/>
      <c r="B31" s="17"/>
      <c r="C31" s="17"/>
      <c r="D31" s="18" t="s">
        <v>534</v>
      </c>
      <c r="E31" s="28">
        <v>10</v>
      </c>
      <c r="F31" s="17"/>
      <c r="G31" s="17"/>
      <c r="H31" s="17"/>
      <c r="I31" s="17"/>
      <c r="J31" s="17"/>
      <c r="K31" s="17"/>
      <c r="L31" s="17"/>
      <c r="M31" s="17"/>
      <c r="N31" s="17"/>
      <c r="O31" s="17"/>
      <c r="P31" s="17"/>
      <c r="Q31" s="17"/>
      <c r="R31" s="17"/>
      <c r="S31" s="17"/>
      <c r="T31" s="17"/>
      <c r="U31" s="17"/>
    </row>
    <row r="32" spans="1:21" x14ac:dyDescent="0.35">
      <c r="A32" s="17"/>
      <c r="B32" s="17"/>
      <c r="C32" s="17"/>
      <c r="D32" s="18" t="s">
        <v>535</v>
      </c>
      <c r="E32" s="28">
        <v>15</v>
      </c>
      <c r="F32" s="17"/>
      <c r="G32" s="17"/>
      <c r="H32" s="17"/>
      <c r="I32" s="17"/>
      <c r="J32" s="17"/>
      <c r="K32" s="17"/>
      <c r="L32" s="17"/>
      <c r="M32" s="17"/>
      <c r="N32" s="17"/>
      <c r="O32" s="17"/>
      <c r="P32" s="17"/>
      <c r="Q32" s="17"/>
      <c r="R32" s="17"/>
      <c r="S32" s="17"/>
      <c r="T32" s="17"/>
      <c r="U32" s="17"/>
    </row>
    <row r="33" spans="1:21" x14ac:dyDescent="0.35">
      <c r="A33" s="17"/>
      <c r="B33" s="17"/>
      <c r="C33" s="17"/>
      <c r="D33" s="18" t="s">
        <v>536</v>
      </c>
      <c r="E33" s="28">
        <v>24</v>
      </c>
      <c r="F33" s="17"/>
      <c r="G33" s="17"/>
      <c r="H33" s="17"/>
      <c r="I33" s="17"/>
      <c r="J33" s="17"/>
      <c r="K33" s="17"/>
      <c r="L33" s="17"/>
      <c r="M33" s="17"/>
      <c r="N33" s="17"/>
      <c r="O33" s="17"/>
      <c r="P33" s="17"/>
      <c r="Q33" s="17"/>
      <c r="R33" s="17"/>
      <c r="S33" s="17"/>
      <c r="T33" s="17"/>
      <c r="U33" s="17"/>
    </row>
    <row r="34" spans="1:21" x14ac:dyDescent="0.35">
      <c r="A34" s="17"/>
      <c r="B34" s="17"/>
      <c r="C34" s="17"/>
      <c r="D34" s="18" t="s">
        <v>537</v>
      </c>
      <c r="E34" s="28">
        <v>11</v>
      </c>
      <c r="F34" s="17"/>
      <c r="G34" s="17"/>
      <c r="H34" s="17"/>
      <c r="I34" s="17"/>
      <c r="J34" s="17"/>
      <c r="K34" s="17"/>
      <c r="L34" s="17"/>
      <c r="M34" s="17"/>
      <c r="N34" s="17"/>
      <c r="O34" s="17"/>
      <c r="P34" s="17"/>
      <c r="Q34" s="17"/>
      <c r="R34" s="17"/>
      <c r="S34" s="17"/>
      <c r="T34" s="17"/>
      <c r="U34" s="17"/>
    </row>
    <row r="35" spans="1:21" x14ac:dyDescent="0.35">
      <c r="A35" s="17"/>
      <c r="B35" s="17"/>
      <c r="C35" s="17"/>
      <c r="D35" s="18" t="s">
        <v>472</v>
      </c>
      <c r="E35" s="28">
        <v>480</v>
      </c>
      <c r="F35" s="17"/>
      <c r="G35" s="17"/>
      <c r="H35" s="17"/>
      <c r="I35" s="17"/>
      <c r="J35" s="17"/>
      <c r="K35" s="17"/>
      <c r="L35" s="17"/>
      <c r="M35" s="17"/>
      <c r="N35" s="17"/>
      <c r="O35" s="17"/>
      <c r="P35" s="17"/>
      <c r="Q35" s="17"/>
      <c r="R35" s="17"/>
      <c r="S35" s="17"/>
      <c r="T35" s="17"/>
      <c r="U35" s="17"/>
    </row>
    <row r="36" spans="1:21" x14ac:dyDescent="0.35">
      <c r="A36" s="17"/>
      <c r="B36" s="17"/>
      <c r="C36" s="17"/>
      <c r="D36" s="17"/>
      <c r="E36" s="17"/>
      <c r="F36" s="17"/>
      <c r="G36" s="17"/>
      <c r="H36" s="17"/>
      <c r="I36" s="17"/>
      <c r="J36" s="17"/>
      <c r="K36" s="17"/>
      <c r="L36" s="17"/>
      <c r="M36" s="17"/>
      <c r="N36" s="17"/>
      <c r="O36" s="17"/>
      <c r="P36" s="17"/>
      <c r="Q36" s="17"/>
      <c r="R36" s="17"/>
      <c r="S36" s="17"/>
      <c r="T36" s="17"/>
      <c r="U36" s="17"/>
    </row>
    <row r="37" spans="1:21" x14ac:dyDescent="0.35">
      <c r="A37" s="17"/>
      <c r="B37" s="17"/>
      <c r="C37" s="17"/>
      <c r="D37" s="17"/>
      <c r="E37" s="17"/>
      <c r="F37" s="17"/>
      <c r="G37" s="17"/>
      <c r="H37" s="17"/>
      <c r="I37" s="17"/>
      <c r="J37" s="17"/>
      <c r="K37" s="17"/>
      <c r="L37" s="17"/>
      <c r="M37" s="17"/>
      <c r="N37" s="17"/>
      <c r="O37" s="17"/>
      <c r="P37" s="17"/>
      <c r="Q37" s="17"/>
      <c r="R37" s="17"/>
      <c r="S37" s="17"/>
      <c r="T37" s="17"/>
      <c r="U37" s="17"/>
    </row>
    <row r="38" spans="1:21" x14ac:dyDescent="0.35">
      <c r="A38" s="17"/>
      <c r="B38" s="17"/>
      <c r="C38" s="17"/>
      <c r="D38" s="17"/>
      <c r="E38" s="17"/>
      <c r="F38" s="17"/>
      <c r="G38" s="17"/>
      <c r="H38" s="17"/>
      <c r="I38" s="17"/>
      <c r="J38" s="17"/>
      <c r="K38" s="17"/>
      <c r="L38" s="17"/>
      <c r="M38" s="17"/>
      <c r="N38" s="17"/>
      <c r="O38" s="17"/>
      <c r="P38" s="17"/>
      <c r="Q38" s="17"/>
      <c r="R38" s="16" t="s">
        <v>471</v>
      </c>
      <c r="S38" s="17"/>
      <c r="T38" s="17"/>
      <c r="U38" s="17"/>
    </row>
    <row r="39" spans="1:21" x14ac:dyDescent="0.35">
      <c r="A39" s="16" t="s">
        <v>471</v>
      </c>
      <c r="B39" s="17" t="s">
        <v>474</v>
      </c>
      <c r="C39" s="17" t="s">
        <v>475</v>
      </c>
      <c r="D39" s="17"/>
      <c r="E39" s="17"/>
      <c r="F39" s="16" t="s">
        <v>471</v>
      </c>
      <c r="G39" s="17" t="s">
        <v>503</v>
      </c>
      <c r="H39" s="17"/>
      <c r="I39" s="16" t="s">
        <v>471</v>
      </c>
      <c r="J39" s="17" t="s">
        <v>504</v>
      </c>
      <c r="K39" s="17"/>
      <c r="L39" s="16" t="s">
        <v>471</v>
      </c>
      <c r="M39" s="17" t="s">
        <v>505</v>
      </c>
      <c r="N39" s="17"/>
      <c r="O39" s="16" t="s">
        <v>471</v>
      </c>
      <c r="P39" s="17" t="s">
        <v>506</v>
      </c>
      <c r="Q39" s="17"/>
      <c r="R39" s="18" t="s">
        <v>473</v>
      </c>
      <c r="S39" s="17"/>
      <c r="T39" s="17"/>
      <c r="U39" s="17"/>
    </row>
    <row r="40" spans="1:21" x14ac:dyDescent="0.35">
      <c r="A40" s="18" t="s">
        <v>5</v>
      </c>
      <c r="B40" s="19">
        <v>229</v>
      </c>
      <c r="C40" s="20">
        <v>0.47708333333333336</v>
      </c>
      <c r="D40" s="17"/>
      <c r="E40" s="17"/>
      <c r="F40" s="18" t="s">
        <v>498</v>
      </c>
      <c r="G40" s="19">
        <v>56</v>
      </c>
      <c r="H40" s="17"/>
      <c r="I40" s="18" t="s">
        <v>494</v>
      </c>
      <c r="J40" s="21">
        <v>267</v>
      </c>
      <c r="K40" s="17"/>
      <c r="L40" s="18" t="s">
        <v>6</v>
      </c>
      <c r="M40" s="21">
        <v>261</v>
      </c>
      <c r="N40" s="17"/>
      <c r="O40" s="18" t="s">
        <v>20</v>
      </c>
      <c r="P40" s="21">
        <v>6</v>
      </c>
      <c r="Q40" s="17"/>
      <c r="R40" s="18" t="s">
        <v>472</v>
      </c>
      <c r="S40" s="17"/>
      <c r="T40" s="17"/>
      <c r="U40" s="17"/>
    </row>
    <row r="41" spans="1:21" x14ac:dyDescent="0.35">
      <c r="A41" s="18" t="s">
        <v>3</v>
      </c>
      <c r="B41" s="19">
        <v>251</v>
      </c>
      <c r="C41" s="20">
        <v>0.5229166666666667</v>
      </c>
      <c r="D41" s="17"/>
      <c r="E41" s="17"/>
      <c r="F41" s="18" t="s">
        <v>497</v>
      </c>
      <c r="G41" s="19">
        <v>54</v>
      </c>
      <c r="H41" s="17"/>
      <c r="I41" s="18" t="s">
        <v>492</v>
      </c>
      <c r="J41" s="21">
        <v>213</v>
      </c>
      <c r="K41" s="17"/>
      <c r="L41" s="18" t="s">
        <v>0</v>
      </c>
      <c r="M41" s="21">
        <v>219</v>
      </c>
      <c r="N41" s="17"/>
      <c r="O41" s="18" t="s">
        <v>18</v>
      </c>
      <c r="P41" s="21">
        <v>11</v>
      </c>
      <c r="Q41" s="17"/>
      <c r="R41" s="17"/>
      <c r="S41" s="17"/>
      <c r="T41" s="17"/>
      <c r="U41" s="17"/>
    </row>
    <row r="42" spans="1:21" x14ac:dyDescent="0.35">
      <c r="A42" s="18" t="s">
        <v>472</v>
      </c>
      <c r="B42" s="19">
        <v>480</v>
      </c>
      <c r="C42" s="20">
        <v>1</v>
      </c>
      <c r="D42" s="17"/>
      <c r="E42" s="17"/>
      <c r="F42" s="18" t="s">
        <v>491</v>
      </c>
      <c r="G42" s="19">
        <v>52</v>
      </c>
      <c r="H42" s="17"/>
      <c r="I42" s="18" t="s">
        <v>472</v>
      </c>
      <c r="J42" s="21">
        <v>480</v>
      </c>
      <c r="K42" s="17"/>
      <c r="L42" s="18" t="s">
        <v>472</v>
      </c>
      <c r="M42" s="21">
        <v>480</v>
      </c>
      <c r="N42" s="17"/>
      <c r="O42" s="18" t="s">
        <v>19</v>
      </c>
      <c r="P42" s="21">
        <v>12</v>
      </c>
      <c r="Q42" s="17"/>
      <c r="R42" s="17"/>
      <c r="S42" s="17"/>
      <c r="T42" s="17"/>
      <c r="U42" s="17"/>
    </row>
    <row r="43" spans="1:21" x14ac:dyDescent="0.35">
      <c r="A43" s="17"/>
      <c r="B43" s="17"/>
      <c r="C43" s="17"/>
      <c r="D43" s="17"/>
      <c r="E43" s="17"/>
      <c r="F43" s="18" t="s">
        <v>496</v>
      </c>
      <c r="G43" s="19">
        <v>74</v>
      </c>
      <c r="H43" s="17"/>
      <c r="I43" s="17"/>
      <c r="J43" s="17"/>
      <c r="K43" s="17"/>
      <c r="L43" s="17"/>
      <c r="M43" s="17"/>
      <c r="N43" s="17"/>
      <c r="O43" s="18" t="s">
        <v>14</v>
      </c>
      <c r="P43" s="21">
        <v>12</v>
      </c>
      <c r="Q43" s="17"/>
      <c r="R43" s="17"/>
      <c r="S43" s="17"/>
      <c r="T43" s="17"/>
      <c r="U43" s="17"/>
    </row>
    <row r="44" spans="1:21" x14ac:dyDescent="0.35">
      <c r="A44" s="17"/>
      <c r="B44" s="17"/>
      <c r="C44" s="17"/>
      <c r="D44" s="17"/>
      <c r="E44" s="17"/>
      <c r="F44" s="18" t="s">
        <v>500</v>
      </c>
      <c r="G44" s="19">
        <v>60</v>
      </c>
      <c r="H44" s="17"/>
      <c r="I44" s="17"/>
      <c r="J44" s="17"/>
      <c r="K44" s="17"/>
      <c r="L44" s="17"/>
      <c r="M44" s="17"/>
      <c r="N44" s="17"/>
      <c r="O44" s="18" t="s">
        <v>17</v>
      </c>
      <c r="P44" s="21">
        <v>20</v>
      </c>
      <c r="Q44" s="17"/>
      <c r="R44" s="17"/>
      <c r="S44" s="17"/>
      <c r="T44" s="17"/>
      <c r="U44" s="17"/>
    </row>
    <row r="45" spans="1:21" x14ac:dyDescent="0.35">
      <c r="A45" s="22"/>
      <c r="B45" s="17"/>
      <c r="C45" s="23"/>
      <c r="D45" s="24"/>
      <c r="E45" s="17"/>
      <c r="F45" s="18" t="s">
        <v>495</v>
      </c>
      <c r="G45" s="19">
        <v>61</v>
      </c>
      <c r="H45" s="17"/>
      <c r="I45" s="17"/>
      <c r="J45" s="17"/>
      <c r="K45" s="17"/>
      <c r="L45" s="17"/>
      <c r="M45" s="17"/>
      <c r="N45" s="17"/>
      <c r="O45" s="18" t="s">
        <v>11</v>
      </c>
      <c r="P45" s="21">
        <v>35</v>
      </c>
      <c r="Q45" s="17"/>
      <c r="R45" s="17"/>
      <c r="S45" s="17"/>
      <c r="T45" s="17"/>
      <c r="U45" s="17"/>
    </row>
    <row r="46" spans="1:21" x14ac:dyDescent="0.35">
      <c r="A46" s="5" t="s">
        <v>476</v>
      </c>
      <c r="B46" s="6" t="s">
        <v>502</v>
      </c>
      <c r="C46" s="6" t="s">
        <v>477</v>
      </c>
      <c r="D46" s="7"/>
      <c r="E46" s="17"/>
      <c r="F46" s="18" t="s">
        <v>499</v>
      </c>
      <c r="G46" s="19">
        <v>61</v>
      </c>
      <c r="H46" s="17"/>
      <c r="I46" s="17"/>
      <c r="J46" s="17"/>
      <c r="K46" s="17"/>
      <c r="L46" s="17"/>
      <c r="M46" s="17"/>
      <c r="N46" s="17"/>
      <c r="O46" s="18" t="s">
        <v>8</v>
      </c>
      <c r="P46" s="21">
        <v>93</v>
      </c>
      <c r="Q46" s="17"/>
      <c r="R46" s="17"/>
      <c r="S46" s="17"/>
      <c r="T46" s="17"/>
      <c r="U46" s="17"/>
    </row>
    <row r="47" spans="1:21" x14ac:dyDescent="0.35">
      <c r="A47" s="8" t="str">
        <f>A41</f>
        <v>Not Admitted</v>
      </c>
      <c r="B47" s="9">
        <f>B41</f>
        <v>251</v>
      </c>
      <c r="C47" s="10">
        <f>C41*100</f>
        <v>52.291666666666671</v>
      </c>
      <c r="D47" s="11"/>
      <c r="E47" s="17"/>
      <c r="F47" s="18" t="s">
        <v>493</v>
      </c>
      <c r="G47" s="19">
        <v>62</v>
      </c>
      <c r="H47" s="17"/>
      <c r="I47" s="17"/>
      <c r="J47" s="17"/>
      <c r="K47" s="17"/>
      <c r="L47" s="17"/>
      <c r="M47" s="17"/>
      <c r="N47" s="17"/>
      <c r="O47" s="18" t="s">
        <v>2</v>
      </c>
      <c r="P47" s="21">
        <v>291</v>
      </c>
      <c r="Q47" s="17"/>
      <c r="R47" s="17"/>
      <c r="S47" s="17"/>
      <c r="T47" s="17"/>
      <c r="U47" s="17"/>
    </row>
    <row r="48" spans="1:21" x14ac:dyDescent="0.35">
      <c r="A48" s="12" t="str">
        <f>A40</f>
        <v>Admitted</v>
      </c>
      <c r="B48" s="13">
        <f>B40</f>
        <v>229</v>
      </c>
      <c r="C48" s="14">
        <f>C40*100</f>
        <v>47.708333333333336</v>
      </c>
      <c r="D48" s="15"/>
      <c r="E48" s="17"/>
      <c r="F48" s="18" t="s">
        <v>472</v>
      </c>
      <c r="G48" s="19">
        <v>480</v>
      </c>
      <c r="H48" s="17"/>
      <c r="I48" s="17"/>
      <c r="J48" s="17"/>
      <c r="K48" s="17"/>
      <c r="L48" s="17"/>
      <c r="M48" s="17"/>
      <c r="N48" s="17"/>
      <c r="O48" s="18" t="s">
        <v>472</v>
      </c>
      <c r="P48" s="21">
        <v>480</v>
      </c>
      <c r="Q48" s="17"/>
      <c r="R48" s="17"/>
      <c r="S48" s="17"/>
      <c r="T48" s="17"/>
      <c r="U48" s="17"/>
    </row>
    <row r="49" spans="1:21" x14ac:dyDescent="0.35">
      <c r="A49" s="25"/>
      <c r="B49" s="26"/>
      <c r="C49" s="26"/>
      <c r="D49" s="27"/>
      <c r="E49" s="17"/>
      <c r="F49" s="17"/>
      <c r="G49" s="17"/>
      <c r="H49" s="17"/>
      <c r="I49" s="17"/>
      <c r="J49" s="17"/>
      <c r="K49" s="17"/>
      <c r="L49" s="17"/>
      <c r="M49" s="17"/>
      <c r="N49" s="17"/>
      <c r="O49" s="17"/>
      <c r="P49" s="17"/>
      <c r="Q49" s="17"/>
      <c r="R49" s="17"/>
      <c r="S49" s="17"/>
      <c r="T49" s="17"/>
      <c r="U49" s="17"/>
    </row>
    <row r="50" spans="1:21" x14ac:dyDescent="0.35">
      <c r="A50" s="17"/>
      <c r="B50" s="17"/>
      <c r="C50" s="17"/>
      <c r="D50" s="17"/>
      <c r="E50" s="17"/>
      <c r="F50" s="17"/>
      <c r="G50" s="17"/>
      <c r="H50" s="17"/>
      <c r="I50" s="17"/>
      <c r="J50" s="17"/>
      <c r="K50" s="17"/>
      <c r="L50" s="17"/>
      <c r="M50" s="17"/>
      <c r="N50" s="17"/>
      <c r="O50" s="17"/>
      <c r="P50" s="17"/>
      <c r="Q50" s="17"/>
      <c r="R50" s="17"/>
      <c r="S50" s="17"/>
      <c r="T50" s="17"/>
      <c r="U50" s="17"/>
    </row>
    <row r="51" spans="1:21" x14ac:dyDescent="0.35">
      <c r="A51" s="17"/>
      <c r="B51" s="17"/>
      <c r="C51" s="17"/>
      <c r="D51" s="17"/>
      <c r="E51" s="17"/>
      <c r="F51" s="17"/>
      <c r="G51" s="17"/>
      <c r="H51" s="17"/>
      <c r="I51" s="17"/>
      <c r="J51" s="17"/>
      <c r="K51" s="17"/>
      <c r="L51" s="17"/>
      <c r="M51" s="17"/>
      <c r="N51" s="17"/>
      <c r="O51" s="17"/>
      <c r="P51" s="17"/>
      <c r="Q51" s="17"/>
      <c r="R51" s="17"/>
      <c r="S51" s="17"/>
      <c r="T51" s="17"/>
      <c r="U51" s="17"/>
    </row>
    <row r="52" spans="1:21" x14ac:dyDescent="0.35">
      <c r="A52" s="17"/>
      <c r="B52" s="17"/>
      <c r="C52" s="17"/>
      <c r="D52" s="17"/>
      <c r="E52" s="17"/>
      <c r="F52" s="17"/>
      <c r="G52" s="17"/>
      <c r="H52" s="17"/>
      <c r="I52" s="17"/>
      <c r="J52" s="17"/>
      <c r="K52" s="17"/>
      <c r="L52" s="17"/>
      <c r="M52" s="17"/>
      <c r="N52" s="17"/>
      <c r="O52" s="17"/>
      <c r="P52" s="17"/>
      <c r="Q52" s="17"/>
      <c r="R52" s="17"/>
      <c r="S52" s="17"/>
      <c r="T52" s="17"/>
      <c r="U52" s="17"/>
    </row>
    <row r="53" spans="1:21" x14ac:dyDescent="0.35">
      <c r="A53" s="17"/>
      <c r="B53" s="17"/>
      <c r="C53" s="17"/>
      <c r="D53" s="17"/>
      <c r="E53" s="17"/>
      <c r="F53" s="17"/>
      <c r="G53" s="17"/>
      <c r="H53" s="17"/>
      <c r="I53" s="17"/>
      <c r="J53" s="17"/>
      <c r="K53" s="17"/>
      <c r="L53" s="17"/>
      <c r="M53" s="17"/>
      <c r="N53" s="17"/>
      <c r="O53" s="17"/>
      <c r="P53" s="17"/>
      <c r="Q53" s="17"/>
      <c r="R53" s="17"/>
      <c r="S53" s="17"/>
      <c r="T53" s="17"/>
      <c r="U53" s="17"/>
    </row>
    <row r="54" spans="1:21" x14ac:dyDescent="0.35">
      <c r="A54" s="17"/>
      <c r="B54" s="17"/>
      <c r="C54" s="17"/>
      <c r="D54" s="17"/>
      <c r="E54" s="17"/>
      <c r="F54" s="17"/>
      <c r="G54" s="17"/>
      <c r="H54" s="17"/>
      <c r="I54" s="17"/>
      <c r="J54" s="17"/>
      <c r="K54" s="17"/>
      <c r="L54" s="17"/>
      <c r="M54" s="17"/>
      <c r="N54" s="17"/>
      <c r="O54" s="17"/>
      <c r="P54" s="17"/>
      <c r="Q54" s="17"/>
      <c r="R54" s="17"/>
      <c r="S54" s="17"/>
      <c r="T54" s="17"/>
      <c r="U54" s="17"/>
    </row>
    <row r="55" spans="1:21" x14ac:dyDescent="0.35">
      <c r="A55" s="17"/>
      <c r="B55" s="17"/>
      <c r="C55" s="17"/>
      <c r="D55" s="17"/>
      <c r="E55" s="17"/>
      <c r="F55" s="17"/>
      <c r="G55" s="17"/>
      <c r="H55" s="17"/>
      <c r="I55" s="17"/>
      <c r="J55" s="17"/>
      <c r="K55" s="17"/>
      <c r="L55" s="17"/>
      <c r="M55" s="17"/>
      <c r="N55" s="17"/>
      <c r="O55" s="17"/>
      <c r="P55" s="17"/>
      <c r="Q55" s="17"/>
      <c r="R55" s="17"/>
      <c r="S55" s="17"/>
      <c r="T55" s="17"/>
      <c r="U55" s="17"/>
    </row>
    <row r="56" spans="1:21" x14ac:dyDescent="0.35">
      <c r="A56" s="17"/>
      <c r="B56" s="17"/>
      <c r="C56" s="17"/>
      <c r="D56" s="17"/>
      <c r="E56" s="17"/>
      <c r="F56" s="17"/>
      <c r="G56" s="17"/>
      <c r="H56" s="17"/>
      <c r="I56" s="17"/>
      <c r="J56" s="17"/>
      <c r="K56" s="17"/>
      <c r="L56" s="17"/>
      <c r="M56" s="17"/>
      <c r="N56" s="17"/>
      <c r="O56" s="17"/>
      <c r="P56" s="17"/>
      <c r="Q56" s="17"/>
      <c r="R56" s="17"/>
      <c r="S56" s="17"/>
      <c r="T56" s="17"/>
      <c r="U56" s="17"/>
    </row>
    <row r="57" spans="1:21" x14ac:dyDescent="0.35">
      <c r="A57" s="17"/>
      <c r="B57" s="17"/>
      <c r="C57" s="17"/>
      <c r="D57" s="17"/>
      <c r="E57" s="17"/>
      <c r="F57" s="17"/>
      <c r="G57" s="17"/>
      <c r="H57" s="17"/>
      <c r="I57" s="17"/>
      <c r="J57" s="17"/>
      <c r="K57" s="17"/>
      <c r="L57" s="17"/>
      <c r="M57" s="17"/>
      <c r="N57" s="17"/>
      <c r="O57" s="17"/>
      <c r="P57" s="17"/>
      <c r="Q57" s="17"/>
      <c r="R57" s="17"/>
      <c r="S57" s="17"/>
      <c r="T57" s="17"/>
      <c r="U57" s="17"/>
    </row>
    <row r="58" spans="1:21" x14ac:dyDescent="0.35">
      <c r="A58" s="17"/>
      <c r="B58" s="17"/>
      <c r="C58" s="17"/>
      <c r="D58" s="17"/>
      <c r="E58" s="17"/>
      <c r="F58" s="17"/>
      <c r="G58" s="17"/>
      <c r="H58" s="17"/>
      <c r="I58" s="17"/>
      <c r="J58" s="17"/>
      <c r="K58" s="17"/>
      <c r="L58" s="17"/>
      <c r="M58" s="17"/>
      <c r="N58" s="17"/>
      <c r="O58" s="17"/>
      <c r="P58" s="17"/>
      <c r="Q58" s="17"/>
      <c r="R58" s="17"/>
      <c r="S58" s="17"/>
      <c r="T58" s="17"/>
      <c r="U58" s="17"/>
    </row>
    <row r="59" spans="1:21" x14ac:dyDescent="0.35">
      <c r="A59" s="17"/>
      <c r="B59" s="17"/>
      <c r="C59" s="17"/>
      <c r="D59" s="17"/>
      <c r="E59" s="17"/>
      <c r="F59" s="17"/>
      <c r="G59" s="17"/>
      <c r="H59" s="17"/>
      <c r="I59" s="17"/>
      <c r="J59" s="17"/>
      <c r="K59" s="17"/>
      <c r="L59" s="17"/>
      <c r="M59" s="17"/>
      <c r="N59" s="17"/>
      <c r="O59" s="17"/>
      <c r="P59" s="17"/>
      <c r="Q59" s="17"/>
      <c r="R59" s="17"/>
      <c r="S59" s="17"/>
      <c r="T59" s="17"/>
      <c r="U59" s="17"/>
    </row>
    <row r="60" spans="1:21" x14ac:dyDescent="0.35">
      <c r="A60" s="17"/>
      <c r="B60" s="17"/>
      <c r="C60" s="17"/>
      <c r="D60" s="17"/>
      <c r="E60" s="17"/>
      <c r="F60" s="17"/>
      <c r="G60" s="17"/>
      <c r="H60" s="17"/>
      <c r="I60" s="17"/>
      <c r="J60" s="17"/>
      <c r="K60" s="17"/>
      <c r="L60" s="17"/>
      <c r="M60" s="17"/>
      <c r="N60" s="17"/>
      <c r="O60" s="17"/>
      <c r="P60" s="17"/>
      <c r="Q60" s="17"/>
      <c r="R60" s="17"/>
      <c r="S60" s="17"/>
      <c r="T60" s="17"/>
      <c r="U60" s="17"/>
    </row>
    <row r="61" spans="1:21" x14ac:dyDescent="0.35">
      <c r="A61" s="17"/>
      <c r="B61" s="17"/>
      <c r="C61" s="17"/>
      <c r="D61" s="17"/>
      <c r="E61" s="17"/>
      <c r="F61" s="17"/>
      <c r="G61" s="17"/>
      <c r="H61" s="17"/>
      <c r="I61" s="17"/>
      <c r="J61" s="17"/>
      <c r="K61" s="17"/>
      <c r="L61" s="17"/>
      <c r="M61" s="17"/>
      <c r="N61" s="17"/>
      <c r="O61" s="17"/>
      <c r="P61" s="17"/>
      <c r="Q61" s="17"/>
      <c r="R61" s="17"/>
      <c r="S61" s="17"/>
      <c r="T61" s="17"/>
      <c r="U61" s="17"/>
    </row>
    <row r="62" spans="1:21" x14ac:dyDescent="0.35">
      <c r="A62" s="17"/>
      <c r="B62" s="17"/>
      <c r="C62" s="17"/>
      <c r="D62" s="17"/>
      <c r="E62" s="17"/>
      <c r="F62" s="17"/>
      <c r="G62" s="17"/>
      <c r="H62" s="17"/>
      <c r="I62" s="17"/>
      <c r="J62" s="17"/>
      <c r="K62" s="17"/>
      <c r="L62" s="17"/>
      <c r="M62" s="17"/>
      <c r="N62" s="17"/>
      <c r="O62" s="17"/>
      <c r="P62" s="17"/>
      <c r="Q62" s="17"/>
      <c r="R62" s="17"/>
      <c r="S62" s="17"/>
      <c r="T62" s="17"/>
      <c r="U62" s="17"/>
    </row>
    <row r="63" spans="1:21" x14ac:dyDescent="0.35">
      <c r="A63" s="17"/>
      <c r="B63" s="17"/>
      <c r="C63" s="17"/>
      <c r="D63" s="17"/>
      <c r="E63" s="17"/>
      <c r="F63" s="17"/>
      <c r="G63" s="17"/>
      <c r="H63" s="17"/>
      <c r="I63" s="17"/>
      <c r="J63" s="17"/>
      <c r="K63" s="17"/>
      <c r="L63" s="17"/>
      <c r="M63" s="17"/>
      <c r="N63" s="17"/>
      <c r="O63" s="17"/>
      <c r="P63" s="17"/>
      <c r="Q63" s="17"/>
      <c r="R63" s="17"/>
      <c r="S63" s="17"/>
      <c r="T63" s="17"/>
      <c r="U63" s="17"/>
    </row>
    <row r="64" spans="1:21" x14ac:dyDescent="0.35">
      <c r="A64" s="17"/>
      <c r="B64" s="17"/>
      <c r="C64" s="17"/>
      <c r="D64" s="17"/>
      <c r="E64" s="17"/>
      <c r="F64" s="17"/>
      <c r="G64" s="17"/>
      <c r="H64" s="17"/>
      <c r="I64" s="17"/>
      <c r="J64" s="17"/>
      <c r="K64" s="17"/>
      <c r="L64" s="17"/>
      <c r="M64" s="17"/>
      <c r="N64" s="17"/>
      <c r="O64" s="17"/>
      <c r="P64" s="17"/>
      <c r="Q64" s="17"/>
      <c r="R64" s="17"/>
      <c r="S64" s="17"/>
      <c r="T64" s="17"/>
      <c r="U64" s="17"/>
    </row>
    <row r="65" spans="1:21" x14ac:dyDescent="0.35">
      <c r="A65" s="17"/>
      <c r="B65" s="17"/>
      <c r="C65" s="17"/>
      <c r="D65" s="17"/>
      <c r="E65" s="17"/>
      <c r="F65" s="17"/>
      <c r="G65" s="17"/>
      <c r="H65" s="17"/>
      <c r="I65" s="17"/>
      <c r="J65" s="17"/>
      <c r="K65" s="17"/>
      <c r="L65" s="17"/>
      <c r="M65" s="17"/>
      <c r="N65" s="17"/>
      <c r="O65" s="17"/>
      <c r="P65" s="17"/>
      <c r="Q65" s="17"/>
      <c r="R65" s="17"/>
      <c r="S65" s="17"/>
      <c r="T65" s="17"/>
      <c r="U65" s="17"/>
    </row>
    <row r="66" spans="1:21" x14ac:dyDescent="0.35">
      <c r="A66" s="17"/>
      <c r="B66" s="17"/>
      <c r="C66" s="17"/>
      <c r="D66" s="17"/>
      <c r="E66" s="17"/>
      <c r="F66" s="17"/>
      <c r="G66" s="17"/>
      <c r="H66" s="17"/>
      <c r="I66" s="17"/>
      <c r="J66" s="17"/>
      <c r="K66" s="17"/>
      <c r="L66" s="17"/>
      <c r="M66" s="17"/>
      <c r="N66" s="17"/>
      <c r="O66" s="17"/>
      <c r="P66" s="17"/>
      <c r="Q66" s="17"/>
      <c r="R66" s="17"/>
      <c r="S66" s="17"/>
      <c r="T66" s="17"/>
      <c r="U66" s="17"/>
    </row>
    <row r="67" spans="1:21" x14ac:dyDescent="0.35">
      <c r="A67" s="17"/>
      <c r="B67" s="17"/>
      <c r="C67" s="17"/>
      <c r="D67" s="17"/>
      <c r="E67" s="17"/>
      <c r="F67" s="17"/>
      <c r="G67" s="17"/>
      <c r="H67" s="17"/>
      <c r="I67" s="17"/>
      <c r="J67" s="17"/>
      <c r="K67" s="17"/>
      <c r="L67" s="17"/>
      <c r="M67" s="17"/>
      <c r="N67" s="17"/>
      <c r="O67" s="17"/>
      <c r="P67" s="17"/>
      <c r="Q67" s="17"/>
      <c r="R67" s="17"/>
      <c r="S67" s="17"/>
      <c r="T67" s="17"/>
      <c r="U67" s="17"/>
    </row>
    <row r="68" spans="1:21" x14ac:dyDescent="0.35">
      <c r="A68" s="17"/>
      <c r="B68" s="17"/>
      <c r="C68" s="17"/>
      <c r="D68" s="17"/>
      <c r="E68" s="17"/>
      <c r="F68" s="17"/>
      <c r="G68" s="17"/>
      <c r="H68" s="17"/>
      <c r="I68" s="17"/>
      <c r="J68" s="17"/>
      <c r="K68" s="17"/>
      <c r="L68" s="17"/>
      <c r="M68" s="17"/>
      <c r="N68" s="17"/>
      <c r="O68" s="17"/>
      <c r="P68" s="17"/>
      <c r="Q68" s="17"/>
      <c r="R68" s="17"/>
      <c r="S68" s="17"/>
      <c r="T68" s="17"/>
      <c r="U68" s="17"/>
    </row>
    <row r="69" spans="1:21" x14ac:dyDescent="0.35">
      <c r="A69" s="17"/>
      <c r="B69" s="17"/>
      <c r="C69" s="17"/>
      <c r="D69" s="17"/>
      <c r="E69" s="17"/>
      <c r="F69" s="17"/>
      <c r="G69" s="17"/>
      <c r="H69" s="17"/>
      <c r="I69" s="17"/>
      <c r="J69" s="17"/>
      <c r="K69" s="17"/>
      <c r="L69" s="17"/>
      <c r="M69" s="17"/>
      <c r="N69" s="17"/>
      <c r="O69" s="17"/>
      <c r="P69" s="17"/>
      <c r="Q69" s="17"/>
      <c r="R69" s="17"/>
      <c r="S69" s="17"/>
      <c r="T69" s="17"/>
      <c r="U69" s="17"/>
    </row>
    <row r="70" spans="1:21" x14ac:dyDescent="0.35">
      <c r="A70" s="17"/>
      <c r="B70" s="17"/>
      <c r="C70" s="17"/>
      <c r="D70" s="17"/>
      <c r="E70" s="17"/>
      <c r="F70" s="17"/>
      <c r="G70" s="17"/>
      <c r="H70" s="17"/>
      <c r="I70" s="17"/>
      <c r="J70" s="17"/>
      <c r="K70" s="17"/>
      <c r="L70" s="17"/>
      <c r="M70" s="17"/>
      <c r="N70" s="17"/>
      <c r="O70" s="17"/>
      <c r="P70" s="17"/>
      <c r="Q70" s="17"/>
      <c r="R70" s="17"/>
      <c r="S70" s="17"/>
      <c r="T70" s="17"/>
      <c r="U70" s="17"/>
    </row>
    <row r="71" spans="1:21" x14ac:dyDescent="0.35">
      <c r="A71" s="17"/>
      <c r="B71" s="17"/>
      <c r="C71" s="17"/>
      <c r="D71" s="17"/>
      <c r="E71" s="17"/>
      <c r="F71" s="17"/>
      <c r="G71" s="17"/>
      <c r="H71" s="17"/>
      <c r="I71" s="17"/>
      <c r="J71" s="17"/>
      <c r="K71" s="17"/>
      <c r="L71" s="17"/>
      <c r="M71" s="17"/>
      <c r="N71" s="17"/>
      <c r="O71" s="17"/>
      <c r="P71" s="17"/>
      <c r="Q71" s="17"/>
      <c r="R71" s="17"/>
      <c r="S71" s="17"/>
      <c r="T71" s="17"/>
      <c r="U71" s="17"/>
    </row>
    <row r="72" spans="1:21" x14ac:dyDescent="0.35">
      <c r="A72" s="17"/>
      <c r="B72" s="17"/>
      <c r="C72" s="17"/>
      <c r="D72" s="17"/>
      <c r="E72" s="17"/>
      <c r="F72" s="17"/>
      <c r="G72" s="17"/>
      <c r="H72" s="17"/>
      <c r="I72" s="17"/>
      <c r="J72" s="17"/>
      <c r="K72" s="17"/>
      <c r="L72" s="17"/>
      <c r="M72" s="17"/>
      <c r="N72" s="17"/>
      <c r="O72" s="17"/>
      <c r="P72" s="17"/>
      <c r="Q72" s="17"/>
      <c r="R72" s="17"/>
      <c r="S72" s="17"/>
      <c r="T72" s="17"/>
      <c r="U72" s="17"/>
    </row>
    <row r="73" spans="1:21" x14ac:dyDescent="0.35">
      <c r="A73" s="17"/>
      <c r="B73" s="17"/>
      <c r="C73" s="17"/>
      <c r="D73" s="17"/>
      <c r="E73" s="17"/>
      <c r="F73" s="17"/>
      <c r="G73" s="17"/>
      <c r="H73" s="17"/>
      <c r="I73" s="17"/>
      <c r="J73" s="17"/>
      <c r="K73" s="17"/>
      <c r="L73" s="17"/>
      <c r="M73" s="17"/>
      <c r="N73" s="17"/>
      <c r="O73" s="17"/>
      <c r="P73" s="17"/>
      <c r="Q73" s="17"/>
      <c r="R73" s="17"/>
      <c r="S73" s="17"/>
      <c r="T73" s="17"/>
      <c r="U73" s="17"/>
    </row>
    <row r="74" spans="1:21" x14ac:dyDescent="0.35">
      <c r="A74" s="17"/>
      <c r="B74" s="17"/>
      <c r="C74" s="17"/>
      <c r="D74" s="17"/>
      <c r="E74" s="17"/>
      <c r="F74" s="17"/>
      <c r="G74" s="17"/>
      <c r="H74" s="17"/>
      <c r="I74" s="17"/>
      <c r="J74" s="17"/>
      <c r="K74" s="17"/>
      <c r="L74" s="17"/>
      <c r="M74" s="17"/>
      <c r="N74" s="17"/>
      <c r="O74" s="17"/>
      <c r="P74" s="17"/>
      <c r="Q74" s="17"/>
      <c r="R74" s="17"/>
      <c r="S74" s="17"/>
      <c r="T74" s="17"/>
      <c r="U74" s="17"/>
    </row>
    <row r="75" spans="1:21" x14ac:dyDescent="0.35">
      <c r="A75" s="17"/>
      <c r="B75" s="17"/>
      <c r="C75" s="17"/>
      <c r="D75" s="17"/>
      <c r="E75" s="17"/>
      <c r="F75" s="17"/>
      <c r="G75" s="17"/>
      <c r="H75" s="17"/>
      <c r="I75" s="17"/>
      <c r="J75" s="17"/>
      <c r="K75" s="17"/>
      <c r="L75" s="17"/>
      <c r="M75" s="17"/>
      <c r="N75" s="17"/>
      <c r="O75" s="17"/>
      <c r="P75" s="17"/>
      <c r="Q75" s="17"/>
      <c r="R75" s="17"/>
      <c r="S75" s="17"/>
      <c r="T75" s="17"/>
      <c r="U75" s="17"/>
    </row>
    <row r="76" spans="1:21" x14ac:dyDescent="0.35">
      <c r="A76" s="17"/>
      <c r="B76" s="17"/>
      <c r="C76" s="17"/>
      <c r="D76" s="17"/>
      <c r="E76" s="17"/>
      <c r="F76" s="17"/>
      <c r="G76" s="17"/>
      <c r="H76" s="17"/>
      <c r="I76" s="17"/>
      <c r="J76" s="17"/>
      <c r="K76" s="17"/>
      <c r="L76" s="17"/>
      <c r="M76" s="17"/>
      <c r="N76" s="17"/>
      <c r="O76" s="17"/>
      <c r="P76" s="17"/>
      <c r="Q76" s="17"/>
      <c r="R76" s="17"/>
      <c r="S76" s="17"/>
      <c r="T76" s="17"/>
      <c r="U76" s="17"/>
    </row>
    <row r="77" spans="1:21" x14ac:dyDescent="0.35">
      <c r="A77" s="17"/>
      <c r="B77" s="17"/>
      <c r="C77" s="17"/>
      <c r="D77" s="17"/>
      <c r="E77" s="17"/>
      <c r="F77" s="17"/>
      <c r="G77" s="17"/>
      <c r="H77" s="17"/>
      <c r="I77" s="17"/>
      <c r="J77" s="17"/>
      <c r="K77" s="17"/>
      <c r="L77" s="17"/>
      <c r="M77" s="17"/>
      <c r="N77" s="17"/>
      <c r="O77" s="17"/>
      <c r="P77" s="17"/>
      <c r="Q77" s="17"/>
      <c r="R77" s="17"/>
      <c r="S77" s="17"/>
      <c r="T77" s="17"/>
      <c r="U77" s="17"/>
    </row>
    <row r="78" spans="1:21" x14ac:dyDescent="0.35">
      <c r="A78" s="17"/>
      <c r="B78" s="17"/>
      <c r="C78" s="17"/>
      <c r="D78" s="17"/>
      <c r="E78" s="17"/>
      <c r="F78" s="17"/>
      <c r="G78" s="17"/>
      <c r="H78" s="17"/>
      <c r="I78" s="17"/>
      <c r="J78" s="17"/>
      <c r="K78" s="17"/>
      <c r="L78" s="17"/>
      <c r="M78" s="17"/>
      <c r="N78" s="17"/>
      <c r="O78" s="17"/>
      <c r="P78" s="17"/>
      <c r="Q78" s="17"/>
      <c r="R78" s="17"/>
      <c r="S78" s="17"/>
      <c r="T78" s="17"/>
      <c r="U78" s="17"/>
    </row>
    <row r="79" spans="1:21" x14ac:dyDescent="0.35">
      <c r="A79" s="17"/>
      <c r="B79" s="17"/>
      <c r="C79" s="17"/>
      <c r="D79" s="17"/>
      <c r="E79" s="17"/>
      <c r="F79" s="17"/>
      <c r="G79" s="17"/>
      <c r="H79" s="17"/>
      <c r="I79" s="17"/>
      <c r="J79" s="17"/>
      <c r="K79" s="17"/>
      <c r="L79" s="17"/>
      <c r="M79" s="17"/>
      <c r="N79" s="17"/>
      <c r="O79" s="17"/>
      <c r="P79" s="17"/>
      <c r="Q79" s="17"/>
      <c r="R79" s="17"/>
      <c r="S79" s="17"/>
      <c r="T79" s="17"/>
      <c r="U79" s="17"/>
    </row>
    <row r="80" spans="1:21" x14ac:dyDescent="0.35">
      <c r="A80" s="17"/>
      <c r="B80" s="17"/>
      <c r="C80" s="17"/>
      <c r="D80" s="17"/>
      <c r="E80" s="17"/>
      <c r="F80" s="17"/>
      <c r="G80" s="17"/>
      <c r="H80" s="17"/>
      <c r="I80" s="17"/>
      <c r="J80" s="17"/>
      <c r="K80" s="17"/>
      <c r="L80" s="17"/>
      <c r="M80" s="17"/>
      <c r="N80" s="17"/>
      <c r="O80" s="17"/>
      <c r="P80" s="17"/>
      <c r="Q80" s="17"/>
      <c r="R80" s="17"/>
      <c r="S80" s="17"/>
      <c r="T80" s="17"/>
      <c r="U80" s="17"/>
    </row>
    <row r="81" spans="1:21" x14ac:dyDescent="0.35">
      <c r="A81" s="17"/>
      <c r="B81" s="17"/>
      <c r="C81" s="17"/>
      <c r="D81" s="17"/>
      <c r="E81" s="17"/>
      <c r="F81" s="17"/>
      <c r="G81" s="17"/>
      <c r="H81" s="17"/>
      <c r="I81" s="17"/>
      <c r="J81" s="17"/>
      <c r="K81" s="17"/>
      <c r="L81" s="17"/>
      <c r="M81" s="17"/>
      <c r="N81" s="17"/>
      <c r="O81" s="17"/>
      <c r="P81" s="17"/>
      <c r="Q81" s="17"/>
      <c r="R81" s="17"/>
      <c r="S81" s="17"/>
      <c r="T81" s="17"/>
      <c r="U81" s="17"/>
    </row>
    <row r="82" spans="1:21" x14ac:dyDescent="0.35">
      <c r="A82" s="17"/>
      <c r="B82" s="17"/>
      <c r="C82" s="17"/>
      <c r="D82" s="17"/>
      <c r="E82" s="17"/>
      <c r="F82" s="17"/>
      <c r="G82" s="17"/>
      <c r="H82" s="17"/>
      <c r="I82" s="17"/>
      <c r="J82" s="17"/>
      <c r="K82" s="17"/>
      <c r="L82" s="17"/>
      <c r="M82" s="17"/>
      <c r="N82" s="17"/>
      <c r="O82" s="17"/>
      <c r="P82" s="17"/>
      <c r="Q82" s="17"/>
      <c r="R82" s="17"/>
      <c r="S82" s="17"/>
      <c r="T82" s="17"/>
      <c r="U82" s="17"/>
    </row>
    <row r="83" spans="1:21" x14ac:dyDescent="0.35">
      <c r="A83" s="17"/>
      <c r="B83" s="17"/>
      <c r="C83" s="17"/>
      <c r="D83" s="17"/>
      <c r="E83" s="17"/>
      <c r="F83" s="17"/>
      <c r="G83" s="17"/>
      <c r="H83" s="17"/>
      <c r="I83" s="17"/>
      <c r="J83" s="17"/>
      <c r="K83" s="17"/>
      <c r="L83" s="17"/>
      <c r="M83" s="17"/>
      <c r="N83" s="17"/>
      <c r="O83" s="17"/>
      <c r="P83" s="17"/>
      <c r="Q83" s="17"/>
      <c r="R83" s="17"/>
      <c r="S83" s="17"/>
      <c r="T83" s="17"/>
      <c r="U83" s="17"/>
    </row>
    <row r="84" spans="1:21" x14ac:dyDescent="0.35">
      <c r="A84" s="17"/>
      <c r="B84" s="17"/>
      <c r="C84" s="17"/>
      <c r="D84" s="17"/>
      <c r="E84" s="17"/>
      <c r="F84" s="17"/>
      <c r="G84" s="17"/>
      <c r="H84" s="17"/>
      <c r="I84" s="17"/>
      <c r="J84" s="17"/>
      <c r="K84" s="17"/>
      <c r="L84" s="17"/>
      <c r="M84" s="17"/>
      <c r="N84" s="17"/>
      <c r="O84" s="17"/>
      <c r="P84" s="17"/>
      <c r="Q84" s="17"/>
      <c r="R84" s="17"/>
      <c r="S84" s="17"/>
      <c r="T84" s="17"/>
      <c r="U84" s="17"/>
    </row>
    <row r="85" spans="1:21" x14ac:dyDescent="0.35">
      <c r="A85" s="17"/>
      <c r="B85" s="17"/>
      <c r="C85" s="17"/>
      <c r="D85" s="17"/>
      <c r="E85" s="17"/>
      <c r="F85" s="17"/>
      <c r="G85" s="17"/>
      <c r="H85" s="17"/>
      <c r="I85" s="17"/>
      <c r="J85" s="17"/>
      <c r="K85" s="17"/>
      <c r="L85" s="17"/>
      <c r="M85" s="17"/>
      <c r="N85" s="17"/>
      <c r="O85" s="17"/>
      <c r="P85" s="17"/>
      <c r="Q85" s="17"/>
      <c r="R85" s="17"/>
      <c r="S85" s="17"/>
      <c r="T85" s="17"/>
      <c r="U85" s="17"/>
    </row>
    <row r="86" spans="1:21" x14ac:dyDescent="0.35">
      <c r="A86" s="17"/>
      <c r="B86" s="17"/>
      <c r="C86" s="17"/>
      <c r="D86" s="17"/>
      <c r="E86" s="17"/>
      <c r="F86" s="17"/>
      <c r="G86" s="17"/>
      <c r="H86" s="17"/>
      <c r="I86" s="17"/>
      <c r="J86" s="17"/>
      <c r="K86" s="17"/>
      <c r="L86" s="17"/>
      <c r="M86" s="17"/>
      <c r="N86" s="17"/>
      <c r="O86" s="17"/>
      <c r="P86" s="17"/>
      <c r="Q86" s="17"/>
      <c r="R86" s="17"/>
      <c r="S86" s="17"/>
      <c r="T86" s="17"/>
      <c r="U86" s="17"/>
    </row>
    <row r="87" spans="1:21" x14ac:dyDescent="0.35">
      <c r="A87" s="17"/>
      <c r="B87" s="17"/>
      <c r="C87" s="17"/>
      <c r="D87" s="17"/>
      <c r="E87" s="17"/>
      <c r="F87" s="17"/>
      <c r="G87" s="17"/>
      <c r="H87" s="17"/>
      <c r="I87" s="17"/>
      <c r="J87" s="17"/>
      <c r="K87" s="17"/>
      <c r="L87" s="17"/>
      <c r="M87" s="17"/>
      <c r="N87" s="17"/>
      <c r="O87" s="17"/>
      <c r="P87" s="17"/>
      <c r="Q87" s="17"/>
      <c r="R87" s="17"/>
      <c r="S87" s="17"/>
      <c r="T87" s="17"/>
      <c r="U87" s="17"/>
    </row>
    <row r="88" spans="1:21" x14ac:dyDescent="0.35">
      <c r="A88" s="17"/>
      <c r="B88" s="17"/>
      <c r="C88" s="17"/>
      <c r="D88" s="17"/>
      <c r="E88" s="17"/>
      <c r="F88" s="17"/>
      <c r="G88" s="17"/>
      <c r="H88" s="17"/>
      <c r="I88" s="17"/>
      <c r="J88" s="17"/>
      <c r="K88" s="17"/>
      <c r="L88" s="17"/>
      <c r="M88" s="17"/>
      <c r="N88" s="17"/>
      <c r="O88" s="17"/>
      <c r="P88" s="17"/>
      <c r="Q88" s="17"/>
      <c r="R88" s="17"/>
      <c r="S88" s="17"/>
      <c r="T88" s="17"/>
      <c r="U88" s="17"/>
    </row>
    <row r="89" spans="1:21" x14ac:dyDescent="0.35">
      <c r="A89" s="17"/>
      <c r="B89" s="17"/>
      <c r="C89" s="17"/>
      <c r="D89" s="17"/>
      <c r="E89" s="17"/>
      <c r="F89" s="17"/>
      <c r="G89" s="17"/>
      <c r="H89" s="17"/>
      <c r="I89" s="17"/>
      <c r="J89" s="17"/>
      <c r="K89" s="17"/>
      <c r="L89" s="17"/>
      <c r="M89" s="17"/>
      <c r="N89" s="17"/>
      <c r="O89" s="17"/>
      <c r="P89" s="17"/>
      <c r="Q89" s="17"/>
      <c r="R89" s="17"/>
      <c r="S89" s="17"/>
      <c r="T89" s="17"/>
      <c r="U89" s="17"/>
    </row>
    <row r="90" spans="1:21" x14ac:dyDescent="0.35">
      <c r="A90" s="17"/>
      <c r="B90" s="17"/>
      <c r="C90" s="17"/>
      <c r="D90" s="17"/>
      <c r="E90" s="17"/>
      <c r="F90" s="17"/>
      <c r="G90" s="17"/>
      <c r="H90" s="17"/>
      <c r="I90" s="17"/>
      <c r="J90" s="17"/>
      <c r="K90" s="17"/>
      <c r="L90" s="17"/>
      <c r="M90" s="17"/>
      <c r="N90" s="17"/>
      <c r="O90" s="17"/>
      <c r="P90" s="17"/>
      <c r="Q90" s="17"/>
      <c r="R90" s="17"/>
      <c r="S90" s="17"/>
      <c r="T90" s="17"/>
      <c r="U90" s="17"/>
    </row>
    <row r="91" spans="1:21" x14ac:dyDescent="0.35">
      <c r="A91" s="17"/>
      <c r="B91" s="17"/>
      <c r="C91" s="17"/>
      <c r="D91" s="17"/>
      <c r="E91" s="17"/>
      <c r="F91" s="17"/>
      <c r="G91" s="17"/>
      <c r="H91" s="17"/>
      <c r="I91" s="17"/>
      <c r="J91" s="17"/>
      <c r="K91" s="17"/>
      <c r="L91" s="17"/>
      <c r="M91" s="17"/>
      <c r="N91" s="17"/>
      <c r="O91" s="17"/>
      <c r="P91" s="17"/>
      <c r="Q91" s="17"/>
      <c r="R91" s="17"/>
      <c r="S91" s="17"/>
      <c r="T91" s="17"/>
      <c r="U91" s="17"/>
    </row>
    <row r="92" spans="1:21" x14ac:dyDescent="0.35">
      <c r="A92" s="17"/>
      <c r="B92" s="17"/>
      <c r="C92" s="17"/>
      <c r="D92" s="17"/>
      <c r="E92" s="17"/>
      <c r="F92" s="17"/>
      <c r="G92" s="17"/>
      <c r="H92" s="17"/>
      <c r="I92" s="17"/>
      <c r="J92" s="17"/>
      <c r="K92" s="17"/>
      <c r="L92" s="17"/>
      <c r="M92" s="17"/>
      <c r="N92" s="17"/>
      <c r="O92" s="17"/>
      <c r="P92" s="17"/>
      <c r="Q92" s="17"/>
      <c r="R92" s="17"/>
      <c r="S92" s="17"/>
      <c r="T92" s="17"/>
      <c r="U92" s="17"/>
    </row>
    <row r="93" spans="1:21" x14ac:dyDescent="0.35">
      <c r="A93" s="17"/>
      <c r="B93" s="17"/>
      <c r="C93" s="17"/>
      <c r="D93" s="17"/>
      <c r="E93" s="17"/>
      <c r="F93" s="17"/>
      <c r="G93" s="17"/>
      <c r="H93" s="17"/>
      <c r="I93" s="17"/>
      <c r="J93" s="17"/>
      <c r="K93" s="17"/>
      <c r="L93" s="17"/>
      <c r="M93" s="17"/>
      <c r="N93" s="17"/>
      <c r="O93" s="17"/>
      <c r="P93" s="17"/>
      <c r="Q93" s="17"/>
      <c r="R93" s="17"/>
      <c r="S93" s="17"/>
      <c r="T93" s="17"/>
      <c r="U93" s="17"/>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2390-7EC0-46A5-BC0E-95A8AD02D2A6}">
  <dimension ref="A1:N21"/>
  <sheetViews>
    <sheetView tabSelected="1" zoomScale="99" zoomScaleNormal="99" zoomScaleSheetLayoutView="93" workbookViewId="0">
      <selection activeCell="P14" sqref="P14"/>
    </sheetView>
  </sheetViews>
  <sheetFormatPr defaultRowHeight="14.5" x14ac:dyDescent="0.35"/>
  <sheetData>
    <row r="1" spans="1:14" x14ac:dyDescent="0.35">
      <c r="A1" s="2"/>
      <c r="B1" s="2"/>
      <c r="C1" s="2"/>
      <c r="D1" s="2"/>
      <c r="E1" s="2"/>
      <c r="F1" s="2"/>
      <c r="G1" s="2"/>
      <c r="H1" s="2"/>
      <c r="I1" s="2"/>
      <c r="J1" s="2"/>
      <c r="K1" s="2"/>
      <c r="L1" s="2"/>
      <c r="M1" s="2"/>
      <c r="N1" s="2"/>
    </row>
    <row r="2" spans="1:14" x14ac:dyDescent="0.35">
      <c r="A2" s="2"/>
      <c r="B2" s="2"/>
      <c r="C2" s="2"/>
      <c r="D2" s="2"/>
      <c r="E2" s="2"/>
      <c r="F2" s="2"/>
      <c r="G2" s="2"/>
      <c r="H2" s="2"/>
      <c r="I2" s="2"/>
      <c r="J2" s="2"/>
      <c r="K2" s="2"/>
      <c r="L2" s="2"/>
      <c r="M2" s="2"/>
      <c r="N2" s="2"/>
    </row>
    <row r="3" spans="1:14" x14ac:dyDescent="0.35">
      <c r="A3" s="2"/>
      <c r="B3" s="2"/>
      <c r="C3" s="2"/>
      <c r="D3" s="2"/>
      <c r="E3" s="2"/>
      <c r="F3" s="2"/>
      <c r="G3" s="2"/>
      <c r="H3" s="2"/>
      <c r="I3" s="2"/>
      <c r="J3" s="2"/>
      <c r="K3" s="2"/>
      <c r="L3" s="2"/>
      <c r="M3" s="2"/>
      <c r="N3" s="2"/>
    </row>
    <row r="4" spans="1:14" x14ac:dyDescent="0.35">
      <c r="A4" s="2"/>
      <c r="B4" s="2"/>
      <c r="C4" s="2"/>
      <c r="D4" s="2"/>
      <c r="E4" s="2"/>
      <c r="F4" s="2"/>
      <c r="G4" s="2"/>
      <c r="H4" s="2"/>
      <c r="I4" s="2"/>
      <c r="J4" s="2"/>
      <c r="K4" s="2"/>
      <c r="L4" s="2"/>
      <c r="M4" s="2"/>
      <c r="N4" s="2"/>
    </row>
    <row r="5" spans="1:14" x14ac:dyDescent="0.35">
      <c r="A5" s="2"/>
      <c r="B5" s="2"/>
      <c r="C5" s="2"/>
      <c r="D5" s="2"/>
      <c r="E5" s="2"/>
      <c r="F5" s="2"/>
      <c r="G5" s="2"/>
      <c r="H5" s="2"/>
      <c r="I5" s="2"/>
      <c r="J5" s="2"/>
      <c r="K5" s="2"/>
      <c r="L5" s="2"/>
      <c r="M5" s="2"/>
      <c r="N5" s="2"/>
    </row>
    <row r="6" spans="1:14" x14ac:dyDescent="0.35">
      <c r="A6" s="2"/>
      <c r="B6" s="2"/>
      <c r="C6" s="2"/>
      <c r="D6" s="2"/>
      <c r="E6" s="2"/>
      <c r="F6" s="2"/>
      <c r="G6" s="2"/>
      <c r="H6" s="2"/>
      <c r="I6" s="2"/>
      <c r="J6" s="2"/>
      <c r="K6" s="2"/>
      <c r="L6" s="2"/>
      <c r="M6" s="2"/>
      <c r="N6" s="2"/>
    </row>
    <row r="7" spans="1:14" x14ac:dyDescent="0.35">
      <c r="A7" s="2"/>
      <c r="B7" s="2"/>
      <c r="C7" s="2"/>
      <c r="D7" s="2"/>
      <c r="E7" s="2"/>
      <c r="F7" s="2"/>
      <c r="G7" s="2"/>
      <c r="H7" s="2"/>
      <c r="I7" s="2"/>
      <c r="J7" s="2"/>
      <c r="K7" s="2"/>
      <c r="L7" s="2"/>
      <c r="M7" s="2"/>
      <c r="N7" s="2"/>
    </row>
    <row r="8" spans="1:14" x14ac:dyDescent="0.35">
      <c r="A8" s="2"/>
      <c r="B8" s="2"/>
      <c r="C8" s="2"/>
      <c r="D8" s="2"/>
      <c r="E8" s="2"/>
      <c r="F8" s="2"/>
      <c r="G8" s="2"/>
      <c r="H8" s="2"/>
      <c r="I8" s="2"/>
      <c r="J8" s="2"/>
      <c r="K8" s="2"/>
      <c r="L8" s="2"/>
      <c r="M8" s="2"/>
      <c r="N8" s="2"/>
    </row>
    <row r="9" spans="1:14" x14ac:dyDescent="0.35">
      <c r="A9" s="2"/>
      <c r="B9" s="2"/>
      <c r="C9" s="2"/>
      <c r="D9" s="2"/>
      <c r="E9" s="2"/>
      <c r="F9" s="2"/>
      <c r="G9" s="2"/>
      <c r="H9" s="2"/>
      <c r="I9" s="2"/>
      <c r="J9" s="2"/>
      <c r="K9" s="2"/>
      <c r="L9" s="2"/>
      <c r="M9" s="2"/>
      <c r="N9" s="2"/>
    </row>
    <row r="10" spans="1:14" x14ac:dyDescent="0.35">
      <c r="A10" s="2"/>
      <c r="B10" s="2"/>
      <c r="C10" s="2"/>
      <c r="D10" s="2"/>
      <c r="E10" s="2"/>
      <c r="F10" s="2"/>
      <c r="G10" s="2"/>
      <c r="H10" s="2"/>
      <c r="I10" s="2"/>
      <c r="J10" s="2"/>
      <c r="K10" s="2"/>
      <c r="L10" s="2"/>
      <c r="M10" s="2"/>
      <c r="N10" s="2"/>
    </row>
    <row r="11" spans="1:14" x14ac:dyDescent="0.35">
      <c r="A11" s="2"/>
      <c r="B11" s="2"/>
      <c r="C11" s="2"/>
      <c r="D11" s="2"/>
      <c r="E11" s="2"/>
      <c r="F11" s="2"/>
      <c r="G11" s="2"/>
      <c r="H11" s="2"/>
      <c r="I11" s="2"/>
      <c r="J11" s="2"/>
      <c r="K11" s="2"/>
      <c r="L11" s="2"/>
      <c r="M11" s="2"/>
      <c r="N11" s="2"/>
    </row>
    <row r="12" spans="1:14" x14ac:dyDescent="0.35">
      <c r="A12" s="2"/>
      <c r="B12" s="2"/>
      <c r="C12" s="2"/>
      <c r="D12" s="2"/>
      <c r="E12" s="2"/>
      <c r="F12" s="2"/>
      <c r="G12" s="2"/>
      <c r="H12" s="2"/>
      <c r="I12" s="2"/>
      <c r="J12" s="2"/>
      <c r="K12" s="2"/>
      <c r="L12" s="2"/>
      <c r="M12" s="2"/>
      <c r="N12" s="2"/>
    </row>
    <row r="13" spans="1:14" x14ac:dyDescent="0.35">
      <c r="A13" s="2"/>
      <c r="B13" s="2"/>
      <c r="C13" s="2"/>
      <c r="D13" s="2"/>
      <c r="E13" s="2"/>
      <c r="F13" s="2"/>
      <c r="G13" s="2"/>
      <c r="H13" s="2"/>
      <c r="I13" s="2"/>
      <c r="J13" s="2"/>
      <c r="K13" s="2"/>
      <c r="L13" s="2"/>
      <c r="M13" s="2"/>
      <c r="N13" s="2"/>
    </row>
    <row r="14" spans="1:14" x14ac:dyDescent="0.35">
      <c r="A14" s="2"/>
      <c r="B14" s="2"/>
      <c r="C14" s="2"/>
      <c r="D14" s="2"/>
      <c r="E14" s="2"/>
      <c r="F14" s="2"/>
      <c r="G14" s="2"/>
      <c r="H14" s="2"/>
      <c r="I14" s="2"/>
      <c r="J14" s="2"/>
      <c r="K14" s="2"/>
      <c r="L14" s="2"/>
      <c r="M14" s="2"/>
      <c r="N14" s="2"/>
    </row>
    <row r="15" spans="1:14" x14ac:dyDescent="0.35">
      <c r="A15" s="2"/>
      <c r="B15" s="2"/>
      <c r="C15" s="2"/>
      <c r="D15" s="2"/>
      <c r="E15" s="2"/>
      <c r="F15" s="2"/>
      <c r="G15" s="2"/>
      <c r="H15" s="2"/>
      <c r="I15" s="2"/>
      <c r="J15" s="2"/>
      <c r="K15" s="2"/>
      <c r="L15" s="2"/>
      <c r="M15" s="2"/>
      <c r="N15" s="2"/>
    </row>
    <row r="16" spans="1:14" x14ac:dyDescent="0.35">
      <c r="A16" s="2"/>
      <c r="B16" s="2"/>
      <c r="C16" s="2"/>
      <c r="D16" s="2"/>
      <c r="E16" s="2"/>
      <c r="F16" s="2"/>
      <c r="G16" s="2"/>
      <c r="H16" s="2"/>
      <c r="I16" s="2"/>
      <c r="J16" s="2"/>
      <c r="K16" s="2"/>
      <c r="L16" s="2"/>
      <c r="M16" s="2"/>
      <c r="N16" s="2"/>
    </row>
    <row r="17" spans="1:14" x14ac:dyDescent="0.35">
      <c r="A17" s="2"/>
      <c r="B17" s="2"/>
      <c r="C17" s="2"/>
      <c r="D17" s="2"/>
      <c r="E17" s="2"/>
      <c r="F17" s="2"/>
      <c r="G17" s="2"/>
      <c r="H17" s="2"/>
      <c r="I17" s="2"/>
      <c r="J17" s="2"/>
      <c r="K17" s="2"/>
      <c r="L17" s="2"/>
      <c r="M17" s="2"/>
      <c r="N17" s="2"/>
    </row>
    <row r="18" spans="1:14" x14ac:dyDescent="0.35">
      <c r="A18" s="2"/>
      <c r="B18" s="2"/>
      <c r="C18" s="2"/>
      <c r="D18" s="2"/>
      <c r="E18" s="2"/>
      <c r="F18" s="2"/>
      <c r="G18" s="2"/>
      <c r="H18" s="2"/>
      <c r="I18" s="2"/>
      <c r="J18" s="2"/>
      <c r="K18" s="2"/>
      <c r="L18" s="2"/>
      <c r="M18" s="2"/>
      <c r="N18" s="2"/>
    </row>
    <row r="19" spans="1:14" x14ac:dyDescent="0.35">
      <c r="A19" s="2"/>
      <c r="B19" s="2"/>
      <c r="C19" s="2"/>
      <c r="D19" s="2"/>
      <c r="E19" s="2"/>
      <c r="F19" s="2"/>
      <c r="G19" s="2"/>
      <c r="H19" s="2"/>
      <c r="I19" s="2"/>
      <c r="J19" s="2"/>
      <c r="K19" s="2"/>
      <c r="L19" s="2"/>
      <c r="M19" s="2"/>
      <c r="N19" s="2"/>
    </row>
    <row r="20" spans="1:14" x14ac:dyDescent="0.35">
      <c r="A20" s="2"/>
      <c r="B20" s="2"/>
      <c r="C20" s="2"/>
      <c r="D20" s="2"/>
      <c r="E20" s="2"/>
      <c r="F20" s="2"/>
      <c r="G20" s="2"/>
      <c r="H20" s="2"/>
      <c r="I20" s="2"/>
      <c r="J20" s="2"/>
      <c r="K20" s="2"/>
      <c r="L20" s="2"/>
      <c r="M20" s="2"/>
      <c r="N20" s="2"/>
    </row>
    <row r="21" spans="1:14" x14ac:dyDescent="0.35">
      <c r="A21" s="2"/>
      <c r="B21" s="2"/>
      <c r="C21" s="2"/>
      <c r="D21" s="2"/>
      <c r="E21" s="2"/>
      <c r="F21" s="2"/>
      <c r="G21" s="2"/>
      <c r="H21" s="2"/>
      <c r="I21" s="2"/>
      <c r="J21" s="2"/>
      <c r="K21" s="2"/>
      <c r="L21" s="2"/>
      <c r="M21" s="2"/>
      <c r="N21" s="2"/>
    </row>
  </sheetData>
  <pageMargins left="0.7" right="0.7" top="0.75" bottom="0.75" header="0.3" footer="0.3"/>
  <pageSetup paperSize="9"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ED0C-458B-4568-A9D4-500D86FDB8FC}">
  <dimension ref="A1"/>
  <sheetViews>
    <sheetView workbookViewId="0"/>
  </sheetViews>
  <sheetFormatPr defaultRowHeight="14.5" x14ac:dyDescent="0.35"/>
  <cols>
    <col min="1" max="1" width="11.26953125" bestFit="1" customWidth="1"/>
    <col min="2" max="2" width="22.90625" bestFit="1" customWidth="1"/>
    <col min="3" max="3" width="23" bestFit="1" customWidth="1"/>
    <col min="4" max="4" width="19.7265625" bestFit="1" customWidth="1"/>
    <col min="5" max="5" width="15.90625" bestFit="1" customWidth="1"/>
    <col min="6" max="6" width="12.7265625" bestFit="1" customWidth="1"/>
    <col min="7" max="7" width="26.7265625" bestFit="1" customWidth="1"/>
    <col min="8" max="8" width="20.6328125" bestFit="1" customWidth="1"/>
    <col min="9" max="9" width="22.1796875" bestFit="1" customWidth="1"/>
    <col min="10" max="10" width="24.6328125" bestFit="1" customWidth="1"/>
    <col min="11" max="11" width="17.542968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91115C1-6524-416F-B515-A7A281866662}">
  <ds:schemaRefs/>
</ds:datastoreItem>
</file>

<file path=customXml/itemProps2.xml><?xml version="1.0" encoding="utf-8"?>
<ds:datastoreItem xmlns:ds="http://schemas.openxmlformats.org/officeDocument/2006/customXml" ds:itemID="{2FF30363-5027-4DC3-A117-651F781FC304}">
  <ds:schemaRefs/>
</ds:datastoreItem>
</file>

<file path=customXml/itemProps3.xml><?xml version="1.0" encoding="utf-8"?>
<ds:datastoreItem xmlns:ds="http://schemas.openxmlformats.org/officeDocument/2006/customXml" ds:itemID="{9B8B9775-15E2-47E7-B2EC-836A27928E9D}">
  <ds:schemaRefs/>
</ds:datastoreItem>
</file>

<file path=customXml/itemProps4.xml><?xml version="1.0" encoding="utf-8"?>
<ds:datastoreItem xmlns:ds="http://schemas.openxmlformats.org/officeDocument/2006/customXml" ds:itemID="{E3AB72AE-B6DA-459F-808F-5CB7C43EF4BA}">
  <ds:schemaRefs/>
</ds:datastoreItem>
</file>

<file path=customXml/itemProps5.xml><?xml version="1.0" encoding="utf-8"?>
<ds:datastoreItem xmlns:ds="http://schemas.openxmlformats.org/officeDocument/2006/customXml" ds:itemID="{4E40D4FD-39EA-4E61-825A-F4D5FE4C0EFA}">
  <ds:schemaRefs/>
</ds:datastoreItem>
</file>

<file path=customXml/itemProps6.xml><?xml version="1.0" encoding="utf-8"?>
<ds:datastoreItem xmlns:ds="http://schemas.openxmlformats.org/officeDocument/2006/customXml" ds:itemID="{1CF63C08-0863-42EE-B16C-A5DD9404901B}">
  <ds:schemaRefs/>
</ds:datastoreItem>
</file>

<file path=customXml/itemProps7.xml><?xml version="1.0" encoding="utf-8"?>
<ds:datastoreItem xmlns:ds="http://schemas.openxmlformats.org/officeDocument/2006/customXml" ds:itemID="{DC4F064C-F323-476B-A108-3DF872D50155}">
  <ds:schemaRefs/>
</ds:datastoreItem>
</file>

<file path=customXml/itemProps8.xml><?xml version="1.0" encoding="utf-8"?>
<ds:datastoreItem xmlns:ds="http://schemas.openxmlformats.org/officeDocument/2006/customXml" ds:itemID="{D9E94402-5E0F-4D4B-B948-E55D99191A31}">
  <ds:schemaRefs/>
</ds:datastoreItem>
</file>

<file path=customXml/itemProps9.xml><?xml version="1.0" encoding="utf-8"?>
<ds:datastoreItem xmlns:ds="http://schemas.openxmlformats.org/officeDocument/2006/customXml" ds:itemID="{11583E73-F0EB-4891-8CD0-DE6BF403A18E}">
  <ds:schemaRefs/>
</ds:datastoreItem>
</file>

<file path=customXml/itemProps10.xml><?xml version="1.0" encoding="utf-8"?>
<ds:datastoreItem xmlns:ds="http://schemas.openxmlformats.org/officeDocument/2006/customXml" ds:itemID="{7113ADDD-6892-4E6D-96C3-D6F436F432FC}">
  <ds:schemaRefs/>
</ds:datastoreItem>
</file>

<file path=customXml/itemProps11.xml><?xml version="1.0" encoding="utf-8"?>
<ds:datastoreItem xmlns:ds="http://schemas.openxmlformats.org/officeDocument/2006/customXml" ds:itemID="{3909BB26-8863-48DD-A7E3-1B3082941A01}">
  <ds:schemaRefs>
    <ds:schemaRef ds:uri="http://schemas.microsoft.com/DataMashup"/>
  </ds:schemaRefs>
</ds:datastoreItem>
</file>

<file path=customXml/itemProps12.xml><?xml version="1.0" encoding="utf-8"?>
<ds:datastoreItem xmlns:ds="http://schemas.openxmlformats.org/officeDocument/2006/customXml" ds:itemID="{8FE70D6C-D26A-44C7-ABB7-0A34B35DA1CC}">
  <ds:schemaRefs/>
</ds:datastoreItem>
</file>

<file path=customXml/itemProps13.xml><?xml version="1.0" encoding="utf-8"?>
<ds:datastoreItem xmlns:ds="http://schemas.openxmlformats.org/officeDocument/2006/customXml" ds:itemID="{7E313521-5406-4770-8536-84D662A17F7F}">
  <ds:schemaRefs/>
</ds:datastoreItem>
</file>

<file path=customXml/itemProps14.xml><?xml version="1.0" encoding="utf-8"?>
<ds:datastoreItem xmlns:ds="http://schemas.openxmlformats.org/officeDocument/2006/customXml" ds:itemID="{85BE7C20-3187-44B1-9D6C-D33B826CED30}">
  <ds:schemaRefs/>
</ds:datastoreItem>
</file>

<file path=customXml/itemProps15.xml><?xml version="1.0" encoding="utf-8"?>
<ds:datastoreItem xmlns:ds="http://schemas.openxmlformats.org/officeDocument/2006/customXml" ds:itemID="{D72F2161-9908-4426-8381-0C0BF42006FF}">
  <ds:schemaRefs/>
</ds:datastoreItem>
</file>

<file path=customXml/itemProps16.xml><?xml version="1.0" encoding="utf-8"?>
<ds:datastoreItem xmlns:ds="http://schemas.openxmlformats.org/officeDocument/2006/customXml" ds:itemID="{DBBDF0DC-96FA-4161-BA2B-C24E7B264B8B}">
  <ds:schemaRefs/>
</ds:datastoreItem>
</file>

<file path=customXml/itemProps17.xml><?xml version="1.0" encoding="utf-8"?>
<ds:datastoreItem xmlns:ds="http://schemas.openxmlformats.org/officeDocument/2006/customXml" ds:itemID="{35BD8A89-9F9D-4CD0-9ECC-D406492B50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Calender Table</vt:lpstr>
      <vt:lpstr>Dashboard</vt:lpstr>
      <vt:lpstr>Hospital Emergency Room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Aanchal Singh</dc:creator>
  <cp:keywords>meow</cp:keywords>
  <cp:lastModifiedBy>Aanchal Singh</cp:lastModifiedBy>
  <dcterms:created xsi:type="dcterms:W3CDTF">2026-09-05T08:51:00Z</dcterms:created>
  <dcterms:modified xsi:type="dcterms:W3CDTF">2026-09-05T14:35:16Z</dcterms:modified>
</cp:coreProperties>
</file>